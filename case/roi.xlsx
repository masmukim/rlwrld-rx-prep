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정" sheetId="2" state="visible" r:id="rId2"/>
    <sheet name="계산" sheetId="3" state="visible" r:id="rId3"/>
    <sheet name="민감도" sheetId="4" state="visible" r:id="rId4"/>
    <sheet name="검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0.000%"/>
    <numFmt numFmtId="167" formatCode="0.0000%"/>
    <numFmt numFmtId="168" formatCode="0.000"/>
    <numFmt numFmtId="169" formatCode="+0%;-0%;0%"/>
    <numFmt numFmtId="170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FF"/>
    </font>
    <font>
      <b val="1"/>
      <color rgb="00C00000"/>
    </font>
    <font>
      <b val="1"/>
      <color rgb="000000FF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3" fontId="3" fillId="4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49" fontId="3" fillId="4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164" fontId="0" fillId="0" borderId="0" pivotButton="0" quotePrefix="0" xfId="0"/>
    <xf numFmtId="3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1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3" fontId="3" fillId="4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3" fontId="3" fillId="0" borderId="0" pivotButton="0" quotePrefix="0" xfId="0"/>
    <xf numFmtId="0" fontId="5" fillId="4" borderId="0" pivotButton="0" quotePrefix="0" xfId="0"/>
    <xf numFmtId="1" fontId="6" fillId="3" borderId="0" applyAlignment="1" pivotButton="0" quotePrefix="0" xfId="0">
      <alignment horizontal="center" vertical="center" wrapText="1"/>
    </xf>
    <xf numFmtId="2" fontId="6" fillId="3" borderId="0" applyAlignment="1" pivotButton="0" quotePrefix="0" xfId="0">
      <alignment horizontal="center" vertical="center" wrapText="1"/>
    </xf>
    <xf numFmtId="9" fontId="6" fillId="3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center" vertical="center" wrapText="1"/>
    </xf>
    <xf numFmtId="169" fontId="6" fillId="3" borderId="0" applyAlignment="1" pivotButton="0" quotePrefix="0" xfId="0">
      <alignment horizontal="center" vertical="center" wrapText="1"/>
    </xf>
    <xf numFmtId="166" fontId="0" fillId="0" borderId="0" pivotButton="0" quotePrefix="0" xfId="0"/>
    <xf numFmtId="170" fontId="0" fillId="0" borderId="0" pivotButton="0" quotePrefix="0" xfId="0"/>
    <xf numFmtId="0" fontId="7" fillId="0" borderId="0" applyAlignment="1" pivotButton="0" quotePrefix="0" xfId="0">
      <alignment vertical="top" wrapText="1"/>
    </xf>
    <xf numFmtId="2" fontId="0" fillId="0" borderId="0" applyAlignment="1" pivotButton="0" quotePrefix="0" xfId="0">
      <alignment horizontal="right"/>
    </xf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B3 ROI 요약 - 자동차 와이어 하네스 프리블록 작업장, 손 구성 셀 1기 (가상 고객 케이스)</t>
        </is>
      </c>
    </row>
    <row r="2" ht="50" customHeight="1">
      <c r="A2" s="2">
        <f>"결론: 기본 시나리오(가정 시트 선택값)의 단순 회수 기간은 "&amp;IF(ISNUMBER('계산'!C56),TEXT('계산'!C56,"0.0")&amp;"년","회수 불가")&amp;", 5년 NPV는 "&amp;TEXT('계산'!C59/1000000,"#,##0")&amp;"백만 원(할인율 "&amp;TEXT('가정'!$D$83,"0%")&amp;")이다. 이 가정이면 이렇다는 값이며, 인건비·속도비·교대·손 교체 단위에 따라 크게 달라진다. 모든 입력은 PoC와 고객 급여대장으로 교체해야 한다."</f>
        <v/>
      </c>
    </row>
    <row r="4">
      <c r="A4" s="3" t="inlineStr">
        <is>
          <t>1. 시나리오별 결과 (계산 시트 D절 링크)</t>
        </is>
      </c>
    </row>
    <row r="5">
      <c r="A5" s="4" t="inlineStr">
        <is>
          <t>시나리오</t>
        </is>
      </c>
      <c r="B5" s="4" t="inlineStr">
        <is>
          <t>연간 절감 인건비 (원)</t>
        </is>
      </c>
      <c r="C5" s="4" t="inlineStr">
        <is>
          <t>연간 운영비 (원)</t>
        </is>
      </c>
      <c r="D5" s="4" t="inlineStr">
        <is>
          <t>연간 순효과 (원)</t>
        </is>
      </c>
      <c r="E5" s="4" t="inlineStr">
        <is>
          <t>총 투자비 (원)</t>
        </is>
      </c>
      <c r="F5" s="4" t="inlineStr">
        <is>
          <t>회수 기간 (년)</t>
        </is>
      </c>
      <c r="G5" s="4" t="inlineStr">
        <is>
          <t>5년 NPV (원)</t>
        </is>
      </c>
      <c r="H5" s="4" t="inlineStr">
        <is>
          <t>5년 내 회수?</t>
        </is>
      </c>
    </row>
    <row r="6">
      <c r="A6" s="5" t="inlineStr">
        <is>
          <t>기본 (가정 시트 선택값)</t>
        </is>
      </c>
      <c r="B6" s="6">
        <f>'계산'!C49</f>
        <v/>
      </c>
      <c r="C6" s="6">
        <f>'계산'!C54</f>
        <v/>
      </c>
      <c r="D6" s="6">
        <f>'계산'!C55</f>
        <v/>
      </c>
      <c r="E6" s="6">
        <f>'계산'!$C$27</f>
        <v/>
      </c>
      <c r="F6" s="7">
        <f>'계산'!C56</f>
        <v/>
      </c>
      <c r="G6" s="6">
        <f>'계산'!C59</f>
        <v/>
      </c>
      <c r="H6" s="8">
        <f>'계산'!C60</f>
        <v/>
      </c>
    </row>
    <row r="7">
      <c r="A7" t="inlineStr">
        <is>
          <t>인건비 하한</t>
        </is>
      </c>
      <c r="B7" s="9">
        <f>'계산'!D49</f>
        <v/>
      </c>
      <c r="C7" s="9">
        <f>'계산'!D54</f>
        <v/>
      </c>
      <c r="D7" s="9">
        <f>'계산'!D55</f>
        <v/>
      </c>
      <c r="E7" s="9">
        <f>'계산'!$C$27</f>
        <v/>
      </c>
      <c r="F7" s="10">
        <f>'계산'!D56</f>
        <v/>
      </c>
      <c r="G7" s="9">
        <f>'계산'!D59</f>
        <v/>
      </c>
      <c r="H7" s="11">
        <f>'계산'!D60</f>
        <v/>
      </c>
    </row>
    <row r="8">
      <c r="A8" t="inlineStr">
        <is>
          <t>인건비 상한</t>
        </is>
      </c>
      <c r="B8" s="9">
        <f>'계산'!E49</f>
        <v/>
      </c>
      <c r="C8" s="9">
        <f>'계산'!E54</f>
        <v/>
      </c>
      <c r="D8" s="9">
        <f>'계산'!E55</f>
        <v/>
      </c>
      <c r="E8" s="9">
        <f>'계산'!$C$27</f>
        <v/>
      </c>
      <c r="F8" s="10">
        <f>'계산'!E56</f>
        <v/>
      </c>
      <c r="G8" s="9">
        <f>'계산'!E59</f>
        <v/>
      </c>
      <c r="H8" s="11">
        <f>'계산'!E60</f>
        <v/>
      </c>
    </row>
    <row r="9">
      <c r="A9" t="inlineStr">
        <is>
          <t>손 교체 낙관 (f1, 20%)</t>
        </is>
      </c>
      <c r="B9" s="9">
        <f>'계산'!F49</f>
        <v/>
      </c>
      <c r="C9" s="9">
        <f>'계산'!F54</f>
        <v/>
      </c>
      <c r="D9" s="9">
        <f>'계산'!F55</f>
        <v/>
      </c>
      <c r="E9" s="9">
        <f>'계산'!$C$27</f>
        <v/>
      </c>
      <c r="F9" s="10">
        <f>'계산'!F56</f>
        <v/>
      </c>
      <c r="G9" s="9">
        <f>'계산'!F59</f>
        <v/>
      </c>
      <c r="H9" s="11">
        <f>'계산'!F60</f>
        <v/>
      </c>
    </row>
    <row r="10">
      <c r="A10" t="inlineStr">
        <is>
          <t>손 교체 보수 (f2, 100%)</t>
        </is>
      </c>
      <c r="B10" s="9">
        <f>'계산'!G49</f>
        <v/>
      </c>
      <c r="C10" s="9">
        <f>'계산'!G54</f>
        <v/>
      </c>
      <c r="D10" s="9">
        <f>'계산'!G55</f>
        <v/>
      </c>
      <c r="E10" s="9">
        <f>'계산'!$C$27</f>
        <v/>
      </c>
      <c r="F10" s="10">
        <f>'계산'!G56</f>
        <v/>
      </c>
      <c r="G10" s="9">
        <f>'계산'!G59</f>
        <v/>
      </c>
      <c r="H10" s="11">
        <f>'계산'!G60</f>
        <v/>
      </c>
    </row>
    <row r="11">
      <c r="A11" t="inlineStr">
        <is>
          <t>손 교체 없음 (참고)</t>
        </is>
      </c>
      <c r="B11" s="9">
        <f>'계산'!H49</f>
        <v/>
      </c>
      <c r="C11" s="9">
        <f>'계산'!H54</f>
        <v/>
      </c>
      <c r="D11" s="9">
        <f>'계산'!H55</f>
        <v/>
      </c>
      <c r="E11" s="9">
        <f>'계산'!$C$27</f>
        <v/>
      </c>
      <c r="F11" s="10">
        <f>'계산'!H56</f>
        <v/>
      </c>
      <c r="G11" s="9">
        <f>'계산'!H59</f>
        <v/>
      </c>
      <c r="H11" s="11">
        <f>'계산'!H60</f>
        <v/>
      </c>
    </row>
    <row r="12">
      <c r="A12" t="inlineStr">
        <is>
          <t>3교대 (f x1.5)</t>
        </is>
      </c>
      <c r="B12" s="9">
        <f>'계산'!I49</f>
        <v/>
      </c>
      <c r="C12" s="9">
        <f>'계산'!I54</f>
        <v/>
      </c>
      <c r="D12" s="9">
        <f>'계산'!I55</f>
        <v/>
      </c>
      <c r="E12" s="9">
        <f>'계산'!$C$27</f>
        <v/>
      </c>
      <c r="F12" s="10">
        <f>'계산'!I56</f>
        <v/>
      </c>
      <c r="G12" s="9">
        <f>'계산'!I59</f>
        <v/>
      </c>
      <c r="H12" s="11">
        <f>'계산'!I60</f>
        <v/>
      </c>
    </row>
    <row r="13">
      <c r="A13" t="inlineStr">
        <is>
          <t>속도비 0.5 (PoC 게이트)</t>
        </is>
      </c>
      <c r="B13" s="9">
        <f>'계산'!J49</f>
        <v/>
      </c>
      <c r="C13" s="9">
        <f>'계산'!J54</f>
        <v/>
      </c>
      <c r="D13" s="9">
        <f>'계산'!J55</f>
        <v/>
      </c>
      <c r="E13" s="9">
        <f>'계산'!$C$27</f>
        <v/>
      </c>
      <c r="F13" s="10">
        <f>'계산'!J56</f>
        <v/>
      </c>
      <c r="G13" s="9">
        <f>'계산'!J59</f>
        <v/>
      </c>
      <c r="H13" s="11">
        <f>'계산'!J60</f>
        <v/>
      </c>
    </row>
    <row r="14">
      <c r="A14" t="inlineStr">
        <is>
          <t>속도비 0.25 (시제품)</t>
        </is>
      </c>
      <c r="B14" s="9">
        <f>'계산'!K49</f>
        <v/>
      </c>
      <c r="C14" s="9">
        <f>'계산'!K54</f>
        <v/>
      </c>
      <c r="D14" s="9">
        <f>'계산'!K55</f>
        <v/>
      </c>
      <c r="E14" s="9">
        <f>'계산'!$C$27</f>
        <v/>
      </c>
      <c r="F14" s="10">
        <f>'계산'!K56</f>
        <v/>
      </c>
      <c r="G14" s="9">
        <f>'계산'!K59</f>
        <v/>
      </c>
      <c r="H14" s="11">
        <f>'계산'!K60</f>
        <v/>
      </c>
    </row>
    <row r="16">
      <c r="A16" s="3" t="inlineStr">
        <is>
          <t>2. 구 가정 대비 (Q7 재현, 검산 시트)</t>
        </is>
      </c>
    </row>
    <row r="17">
      <c r="A17" t="inlineStr">
        <is>
          <t>구 가정(인건비 4,700만 원, 유지보수 10%)에서 교체비 0 회수 (년)</t>
        </is>
      </c>
      <c r="F17" s="12">
        <f>'계산'!N56</f>
        <v/>
      </c>
    </row>
    <row r="18">
      <c r="A18" t="inlineStr">
        <is>
          <t>검산 불일치 건수 (0이어야 함)</t>
        </is>
      </c>
      <c r="F18">
        <f>'검산'!$C$42</f>
        <v/>
      </c>
    </row>
    <row r="20">
      <c r="A20" s="3" t="inlineStr">
        <is>
          <t>3. 결과를 가장 크게 흔드는 변수 (민감도 시트 1절, NPV 폭 기준)</t>
        </is>
      </c>
    </row>
    <row r="21">
      <c r="A21">
        <f>'민감도'!A5</f>
        <v/>
      </c>
    </row>
    <row r="22">
      <c r="A22">
        <f>'민감도'!A6</f>
        <v/>
      </c>
    </row>
    <row r="24">
      <c r="A24" s="3" t="inlineStr">
        <is>
          <t>4. 5년 회수 조건</t>
        </is>
      </c>
    </row>
    <row r="25">
      <c r="A25" t="inlineStr">
        <is>
          <t>5년 회수에 필요한 연 순절감 (원)</t>
        </is>
      </c>
      <c r="F25" s="13">
        <f>'계산'!C28</f>
        <v/>
      </c>
    </row>
    <row r="26">
      <c r="A26" t="inlineStr">
        <is>
          <t>기본 시나리오 연 순절감 (원)</t>
        </is>
      </c>
      <c r="F26" s="13">
        <f>'계산'!C55</f>
        <v/>
      </c>
    </row>
    <row r="28">
      <c r="A28" s="14" t="inlineStr">
        <is>
          <t>5. 해석 주의</t>
        </is>
      </c>
    </row>
    <row r="29" ht="32" customHeight="1">
      <c r="A29" s="2" t="inlineStr">
        <is>
          <t>- 속도비 0.5는 PoC의 기술 가능성 게이트(통과해야 사업 논의를 이어갈 수 있는 기술 기준)이며 ROI 성립 기준이 아니다. 0.5에서는 회수가 길어지거나 불가능하다.</t>
        </is>
      </c>
    </row>
    <row r="30" ht="32" customHeight="1">
      <c r="A30" s="2" t="inlineStr">
        <is>
          <t>- 인건비는 공개된 1차 직접 자료가 없고 중소제조업 부품조립원 일급 등 대리 근거로 잡은 범위(하한 3,199만 ~ 상한 7,433만 원/인·년)다. 고객 급여대장으로 교체한다.</t>
        </is>
      </c>
    </row>
    <row r="31" ht="32" customHeight="1">
      <c r="A31" s="2" t="inlineStr">
        <is>
          <t>- 손 교체는 공개 근거가 부족하다. 교체 빈도(f)보다 교체 단위(손 전체 대 모듈)가 회수를 더 크게 가른다. 모듈 교체 비용 20%는 산술 추정이다.</t>
        </is>
      </c>
    </row>
    <row r="32" ht="32" customHeight="1">
      <c r="A32" s="2" t="inlineStr">
        <is>
          <t>- 라이선스(RLDX-1 상용 조건), 관리 인력, 전력, 초기 데이터·학습비는 미확인이라 0으로 두었다. 실제 값이 들어가면 회수는 길어진다.</t>
        </is>
      </c>
    </row>
    <row r="33" ht="32" customHeight="1">
      <c r="A33" s="2" t="inlineStr">
        <is>
          <t>- 대체 인원은 속도비 x 성공률 x 가동률 x 교대 수의 단순 곱이다. 3교대 인건비는 2교대 평균과 같게 두었다(야간 비율 변화는 미반영).</t>
        </is>
      </c>
    </row>
    <row r="34" ht="32" customHeight="1">
      <c r="A34" s="2" t="inlineStr">
        <is>
          <t>- 비재무 효과(회수 기간에 넣지 않음): 인력난 해소와 외국인력 의존 리스크 완화(하네스 업종에서는 Q1이 미검증), 품질 일관성, 야간 무인 가동, 숙련 암묵지의 데이터 자산화.</t>
        </is>
      </c>
    </row>
    <row r="36">
      <c r="A36" s="3" t="inlineStr">
        <is>
          <t>6. 손 단가 시나리오 - $23,000(제품 DB, 기본) 대 $7,500(RLWRLD 블로그) (B8, 민감도 시트 8절 링크)</t>
        </is>
      </c>
    </row>
    <row r="37" ht="48" customHeight="1">
      <c r="A37" s="42" t="inlineStr">
        <is>
          <t>손 단가는 견적 전까지 헤드라인에 반영하지 않는다. 두 값 모두 공식 견적이 아니며(추정) Tesollo 공식 견적으로 확정한다. 아래는 '이 단가라면 이렇다'는 민감도 비교이고, 기본 시나리오(위 1절)는 $23,000 그대로다. 연동 = 통합비가 하드웨어(손 포함)에 비례(현 모델), 비연동 = 통합비를 $23,000 기준 금액으로 고정.</t>
        </is>
      </c>
    </row>
    <row r="38" ht="45" customHeight="1">
      <c r="A38" s="4" t="inlineStr">
        <is>
          <t>손 교체 시나리오</t>
        </is>
      </c>
      <c r="B38" s="4" t="inlineStr">
        <is>
          <t>총 투자비 $23,000 (원)</t>
        </is>
      </c>
      <c r="C38" s="4" t="inlineStr">
        <is>
          <t>총 투자비 $7,500 연동 (원)</t>
        </is>
      </c>
      <c r="D38" s="4" t="inlineStr">
        <is>
          <t>총 투자비 $7,500 비연동 (원)</t>
        </is>
      </c>
      <c r="E38" s="4" t="inlineStr">
        <is>
          <t>회수 $23,000 (년)</t>
        </is>
      </c>
      <c r="F38" s="4" t="inlineStr">
        <is>
          <t>회수 $7,500 연동 (년)</t>
        </is>
      </c>
      <c r="G38" s="4" t="inlineStr">
        <is>
          <t>회수 $7,500 비연동 (년)</t>
        </is>
      </c>
      <c r="H38" s="4" t="inlineStr">
        <is>
          <t>회수 단축 연동 (년)</t>
        </is>
      </c>
    </row>
    <row r="39">
      <c r="A39" t="inlineStr">
        <is>
          <t>낙관 (f1, 20%)</t>
        </is>
      </c>
      <c r="B39" s="9">
        <f>'민감도'!B106</f>
        <v/>
      </c>
      <c r="C39" s="9">
        <f>'민감도'!C106</f>
        <v/>
      </c>
      <c r="D39" s="9">
        <f>'민감도'!C107</f>
        <v/>
      </c>
      <c r="E39" s="10">
        <f>'민감도'!B111</f>
        <v/>
      </c>
      <c r="F39" s="10">
        <f>'민감도'!C111</f>
        <v/>
      </c>
      <c r="G39" s="10">
        <f>'민감도'!C113</f>
        <v/>
      </c>
      <c r="H39" s="10">
        <f>'민감도'!D111</f>
        <v/>
      </c>
    </row>
    <row r="40">
      <c r="A40" t="inlineStr">
        <is>
          <t>기본 (f2, 20%)</t>
        </is>
      </c>
      <c r="B40" s="9">
        <f>'민감도'!E106</f>
        <v/>
      </c>
      <c r="C40" s="9">
        <f>'민감도'!F106</f>
        <v/>
      </c>
      <c r="D40" s="9">
        <f>'민감도'!F107</f>
        <v/>
      </c>
      <c r="E40" s="10">
        <f>'민감도'!E111</f>
        <v/>
      </c>
      <c r="F40" s="10">
        <f>'민감도'!F111</f>
        <v/>
      </c>
      <c r="G40" s="10">
        <f>'민감도'!F113</f>
        <v/>
      </c>
      <c r="H40" s="10">
        <f>'민감도'!G111</f>
        <v/>
      </c>
    </row>
    <row r="41">
      <c r="A41" t="inlineStr">
        <is>
          <t>보수 (f2, 100%)</t>
        </is>
      </c>
      <c r="B41" s="9">
        <f>'민감도'!H106</f>
        <v/>
      </c>
      <c r="C41" s="9">
        <f>'민감도'!I106</f>
        <v/>
      </c>
      <c r="D41" s="9">
        <f>'민감도'!I107</f>
        <v/>
      </c>
      <c r="E41" s="10">
        <f>'민감도'!H111</f>
        <v/>
      </c>
      <c r="F41" s="10">
        <f>'민감도'!I111</f>
        <v/>
      </c>
      <c r="G41" s="10">
        <f>'민감도'!I113</f>
        <v/>
      </c>
      <c r="H41" s="10">
        <f>'민감도'!J111</f>
        <v/>
      </c>
    </row>
    <row r="43" ht="45" customHeight="1">
      <c r="A43" s="4" t="inlineStr">
        <is>
          <t>손 교체 시나리오</t>
        </is>
      </c>
      <c r="B43" s="4" t="inlineStr">
        <is>
          <t>5년 NPV $23,000 (원)</t>
        </is>
      </c>
      <c r="C43" s="4" t="inlineStr">
        <is>
          <t>5년 NPV $7,500 연동 (원)</t>
        </is>
      </c>
      <c r="D43" s="4" t="inlineStr">
        <is>
          <t>5년 NPV $7,500 비연동 (원)</t>
        </is>
      </c>
      <c r="E43" s="4" t="inlineStr">
        <is>
          <t>손 소모비 $23,000 (원/년)</t>
        </is>
      </c>
      <c r="F43" s="4" t="inlineStr">
        <is>
          <t>손 소모비 $7,500 (원/년)</t>
        </is>
      </c>
      <c r="G43" s="4" t="inlineStr">
        <is>
          <t>NPV 개선 연동 (원)</t>
        </is>
      </c>
      <c r="H43" s="4" t="inlineStr">
        <is>
          <t>NPV 개선 비연동 (원)</t>
        </is>
      </c>
    </row>
    <row r="44">
      <c r="A44" t="inlineStr">
        <is>
          <t>낙관 (f1, 20%)</t>
        </is>
      </c>
      <c r="B44" s="9">
        <f>'민감도'!B112</f>
        <v/>
      </c>
      <c r="C44" s="9">
        <f>'민감도'!C112</f>
        <v/>
      </c>
      <c r="D44" s="9">
        <f>'민감도'!C114</f>
        <v/>
      </c>
      <c r="E44" s="9">
        <f>'민감도'!B108</f>
        <v/>
      </c>
      <c r="F44" s="9">
        <f>'민감도'!C108</f>
        <v/>
      </c>
      <c r="G44" s="9">
        <f>'민감도'!D112</f>
        <v/>
      </c>
      <c r="H44" s="9">
        <f>D44-B44</f>
        <v/>
      </c>
    </row>
    <row r="45">
      <c r="A45" t="inlineStr">
        <is>
          <t>기본 (f2, 20%)</t>
        </is>
      </c>
      <c r="B45" s="9">
        <f>'민감도'!E112</f>
        <v/>
      </c>
      <c r="C45" s="9">
        <f>'민감도'!F112</f>
        <v/>
      </c>
      <c r="D45" s="9">
        <f>'민감도'!F114</f>
        <v/>
      </c>
      <c r="E45" s="9">
        <f>'민감도'!E108</f>
        <v/>
      </c>
      <c r="F45" s="9">
        <f>'민감도'!F108</f>
        <v/>
      </c>
      <c r="G45" s="9">
        <f>'민감도'!G112</f>
        <v/>
      </c>
      <c r="H45" s="9">
        <f>D45-B45</f>
        <v/>
      </c>
    </row>
    <row r="46">
      <c r="A46" t="inlineStr">
        <is>
          <t>보수 (f2, 100%)</t>
        </is>
      </c>
      <c r="B46" s="9">
        <f>'민감도'!H112</f>
        <v/>
      </c>
      <c r="C46" s="9">
        <f>'민감도'!I112</f>
        <v/>
      </c>
      <c r="D46" s="9">
        <f>'민감도'!I114</f>
        <v/>
      </c>
      <c r="E46" s="9">
        <f>'민감도'!H108</f>
        <v/>
      </c>
      <c r="F46" s="9">
        <f>'민감도'!I108</f>
        <v/>
      </c>
      <c r="G46" s="9">
        <f>'민감도'!J112</f>
        <v/>
      </c>
      <c r="H46" s="9">
        <f>D46-B46</f>
        <v/>
      </c>
    </row>
    <row r="48" ht="45" customHeight="1">
      <c r="A48" s="4" t="inlineStr">
        <is>
          <t>손 대 그리퍼(Hand-E $7,250, 추정) 하드웨어 비교</t>
        </is>
      </c>
      <c r="B48" s="4" t="inlineStr">
        <is>
          <t>손 1개 단가비 $23,000 (배)</t>
        </is>
      </c>
      <c r="C48" s="4" t="inlineStr">
        <is>
          <t>손 1개 단가비 $7,500 (배)</t>
        </is>
      </c>
      <c r="D48" s="4" t="inlineStr">
        <is>
          <t>셀 하드웨어비 $23,000 (배)</t>
        </is>
      </c>
      <c r="E48" s="4" t="inlineStr">
        <is>
          <t>셀 하드웨어비 $7,500 (배)</t>
        </is>
      </c>
    </row>
    <row r="49" ht="45" customHeight="1">
      <c r="A49" s="2" t="inlineStr">
        <is>
          <t>손 구성 대 그리퍼 구성 (단가비: 손 1개/Hand-E 1개, 셀: 손 구성/그리퍼 구성 하드웨어 합계)</t>
        </is>
      </c>
      <c r="B49" s="43">
        <f>'가정'!$D$49/'가정'!$D$76</f>
        <v/>
      </c>
      <c r="C49" s="43">
        <f>'가정'!$D$87/'가정'!$D$76</f>
        <v/>
      </c>
      <c r="D49" s="43">
        <f>'계산'!$C$23/'계산'!$C$36</f>
        <v/>
      </c>
      <c r="E49" s="43">
        <f>'민감도'!F101/'계산'!$C$36</f>
        <v/>
      </c>
    </row>
    <row r="50" ht="32" customHeight="1">
      <c r="A50" s="2">
        <f>"→ 손 1개 단가가 그리퍼의 "&amp;TEXT(B49,"0.0")&amp;"배에서 "&amp;TEXT(C49,"0.00")&amp;"배로 바뀐다($23,000 대 $7,500, Hand-E $7,250 추정). 셀 하드웨어는 "&amp;TEXT(D49,"0.00")&amp;"배에서 "&amp;TEXT(E49,"0.00")&amp;"배다."</f>
        <v/>
      </c>
    </row>
    <row r="51">
      <c r="A51" t="inlineStr">
        <is>
          <t>검산 시트 D절(B8) 불일치 건수 (0이어야 함)</t>
        </is>
      </c>
      <c r="F51" s="30">
        <f>'검산'!$C$83</f>
        <v/>
      </c>
    </row>
  </sheetData>
  <mergeCells count="10">
    <mergeCell ref="A50:H50"/>
    <mergeCell ref="A30:H30"/>
    <mergeCell ref="A29:H29"/>
    <mergeCell ref="A2:H2"/>
    <mergeCell ref="A28:H28"/>
    <mergeCell ref="A33:H33"/>
    <mergeCell ref="A37:H37"/>
    <mergeCell ref="A32:H32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2" customWidth="1" min="3" max="3"/>
    <col width="15" customWidth="1" min="4" max="4"/>
    <col width="13" customWidth="1" min="5" max="5"/>
    <col width="90" customWidth="1" min="6" max="6"/>
    <col width="10" customWidth="1" min="7" max="7"/>
  </cols>
  <sheetData>
    <row r="1">
      <c r="A1" s="1" t="inlineStr">
        <is>
          <t>B3 ROI 모델 - 가정 시트 (손 구성 셀 1기, 프리블록 작업장 1곳 기준)</t>
        </is>
      </c>
    </row>
    <row r="2" ht="48" customHeight="1">
      <c r="A2" s="2" t="inlineStr">
        <is>
          <t>파란 글씨 = 입력 셀(바꾸면 계산·민감도·검산 시트가 따라 바뀜). 통화 USD 또는 원(KRW), 환율·인건비 기준 2027년. 확인수준: 1차=정부·제조사 원문, 2차=기사·공고·블로그, 계산=소스 값으로 산출, 추정=근거 약함 또는 없음. 입력 우선순위: case/analysis.md 7절 기본 틀, 충돌 시 research/q7-hand-replacement.md(Q7)·q8-wage-inputs.md(Q8) 우선.</t>
        </is>
      </c>
    </row>
    <row r="4">
      <c r="A4" s="4" t="inlineStr">
        <is>
          <t>ID</t>
        </is>
      </c>
      <c r="B4" s="4" t="inlineStr">
        <is>
          <t>구분</t>
        </is>
      </c>
      <c r="C4" s="4" t="inlineStr">
        <is>
          <t>항목</t>
        </is>
      </c>
      <c r="D4" s="4" t="inlineStr">
        <is>
          <t>값</t>
        </is>
      </c>
      <c r="E4" s="4" t="inlineStr">
        <is>
          <t>단위</t>
        </is>
      </c>
      <c r="F4" s="4" t="inlineStr">
        <is>
          <t>근거 (출처 파일·절, URL)</t>
        </is>
      </c>
      <c r="G4" s="4" t="inlineStr">
        <is>
          <t>확인수준</t>
        </is>
      </c>
    </row>
    <row r="5">
      <c r="A5" s="15" t="inlineStr">
        <is>
          <t>0. 시나리오 선택 (계산 시트 '기본' 열과 민감도 기준값이 이 선택을 따름)</t>
        </is>
      </c>
      <c r="B5" s="16" t="n"/>
      <c r="C5" s="16" t="n"/>
      <c r="D5" s="16" t="n"/>
      <c r="E5" s="16" t="n"/>
      <c r="F5" s="16" t="n"/>
      <c r="G5" s="16" t="n"/>
    </row>
    <row r="6">
      <c r="A6" t="inlineStr">
        <is>
          <t>A01</t>
        </is>
      </c>
      <c r="B6" t="inlineStr">
        <is>
          <t>선택</t>
        </is>
      </c>
      <c r="C6" s="2" t="inlineStr">
        <is>
          <t>인건비 시나리오 (1=하한, 2=기본, 3=상한)</t>
        </is>
      </c>
      <c r="D6" s="17" t="n">
        <v>2</v>
      </c>
      <c r="E6" t="inlineStr">
        <is>
          <t>번호</t>
        </is>
      </c>
      <c r="F6" s="2" t="inlineStr">
        <is>
          <t>research/q8-wage-inputs.md 5절</t>
        </is>
      </c>
      <c r="G6" t="inlineStr">
        <is>
          <t>선택</t>
        </is>
      </c>
    </row>
    <row r="7">
      <c r="A7" t="inlineStr">
        <is>
          <t>A02</t>
        </is>
      </c>
      <c r="B7" t="inlineStr">
        <is>
          <t>선택</t>
        </is>
      </c>
      <c r="C7" s="2" t="inlineStr">
        <is>
          <t>손 교체 시나리오 (1=낙관, 2=기본, 3=보수, 4=교체 없음[참고])</t>
        </is>
      </c>
      <c r="D7" s="17" t="n">
        <v>2</v>
      </c>
      <c r="E7" t="inlineStr">
        <is>
          <t>번호</t>
        </is>
      </c>
      <c r="F7" s="2" t="inlineStr">
        <is>
          <t>research/q7-hand-replacement.md 6절 제안(낙관 f1·20%, 기본 f2·20%, 보수 f2·100%). 4번은 교체비 0 비교용</t>
        </is>
      </c>
      <c r="G7" t="inlineStr">
        <is>
          <t>선택</t>
        </is>
      </c>
    </row>
    <row r="8">
      <c r="A8" s="15" t="inlineStr">
        <is>
          <t>1. 현재 인력·공정</t>
        </is>
      </c>
      <c r="B8" s="16" t="n"/>
      <c r="C8" s="16" t="n"/>
      <c r="D8" s="16" t="n"/>
      <c r="E8" s="16" t="n"/>
      <c r="F8" s="16" t="n"/>
      <c r="G8" s="16" t="n"/>
    </row>
    <row r="9">
      <c r="A9" t="inlineStr">
        <is>
          <t>A03</t>
        </is>
      </c>
      <c r="B9" t="inlineStr">
        <is>
          <t>공정</t>
        </is>
      </c>
      <c r="C9" s="2" t="inlineStr">
        <is>
          <t>셀 가동 교대 수</t>
        </is>
      </c>
      <c r="D9" s="17" t="n">
        <v>2</v>
      </c>
      <c r="E9" t="inlineStr">
        <is>
          <t>교대/일</t>
        </is>
      </c>
      <c r="F9" s="2" t="inlineStr">
        <is>
          <t>case/analysis.md 7.4절 (2 기본, 3 상향 시나리오). 3교대는 로봇만 추가 가동</t>
        </is>
      </c>
      <c r="G9" t="inlineStr">
        <is>
          <t>추정</t>
        </is>
      </c>
    </row>
    <row r="10">
      <c r="A10" t="inlineStr">
        <is>
          <t>A04</t>
        </is>
      </c>
      <c r="B10" t="inlineStr">
        <is>
          <t>공정</t>
        </is>
      </c>
      <c r="C10" s="2" t="inlineStr">
        <is>
          <t>연간 가동일</t>
        </is>
      </c>
      <c r="D10" s="17" t="n">
        <v>250</v>
      </c>
      <c r="E10" t="inlineStr">
        <is>
          <t>일/년</t>
        </is>
      </c>
      <c r="F10" s="2" t="inlineStr">
        <is>
          <t>case/analysis.md 7.1절 (주 5일 x 50주). 참고 라인 [1]은 주 6일</t>
        </is>
      </c>
      <c r="G10" t="inlineStr">
        <is>
          <t>추정</t>
        </is>
      </c>
    </row>
    <row r="11">
      <c r="A11" t="inlineStr">
        <is>
          <t>A05</t>
        </is>
      </c>
      <c r="B11" t="inlineStr">
        <is>
          <t>공정</t>
        </is>
      </c>
      <c r="C11" s="2" t="inlineStr">
        <is>
          <t>교대당 실가동 시간</t>
        </is>
      </c>
      <c r="D11" s="17" t="n">
        <v>440</v>
      </c>
      <c r="E11" t="inlineStr">
        <is>
          <t>분/교대</t>
        </is>
      </c>
      <c r="F11" s="2" t="inlineStr">
        <is>
          <t>case/analysis.md 7.1절, reference/case--easychair-harness-line-balancing.md (참고 라인, 해외)</t>
        </is>
      </c>
      <c r="G11" t="inlineStr">
        <is>
          <t>1차</t>
        </is>
      </c>
    </row>
    <row r="12">
      <c r="A12" t="inlineStr">
        <is>
          <t>A06</t>
        </is>
      </c>
      <c r="B12" t="inlineStr">
        <is>
          <t>공정</t>
        </is>
      </c>
      <c r="C12" s="2" t="inlineStr">
        <is>
          <t>대체 대상 인원(교대당)</t>
        </is>
      </c>
      <c r="D12" s="18" t="n">
        <v>1</v>
      </c>
      <c r="E12" t="inlineStr">
        <is>
          <t>명/교대</t>
        </is>
      </c>
      <c r="F12" s="2" t="inlineStr">
        <is>
          <t>case/analysis.md 7.5절: 프리블록 작업장 1곳 = 교대당 1명 (7.4절 대체 인원 1.9 = 1.0 x 0.95 x 2 의 암묵 가정)</t>
        </is>
      </c>
      <c r="G12" t="inlineStr">
        <is>
          <t>추정</t>
        </is>
      </c>
    </row>
    <row r="13">
      <c r="A13" s="15" t="inlineStr">
        <is>
          <t>2. 성능</t>
        </is>
      </c>
      <c r="B13" s="16" t="n"/>
      <c r="C13" s="16" t="n"/>
      <c r="D13" s="16" t="n"/>
      <c r="E13" s="16" t="n"/>
      <c r="F13" s="16" t="n"/>
      <c r="G13" s="16" t="n"/>
    </row>
    <row r="14">
      <c r="A14" t="inlineStr">
        <is>
          <t>A07</t>
        </is>
      </c>
      <c r="B14" t="inlineStr">
        <is>
          <t>성능</t>
        </is>
      </c>
      <c r="C14" s="2" t="inlineStr">
        <is>
          <t>로봇 속도비 (로봇 처리량/사람 처리량)</t>
        </is>
      </c>
      <c r="D14" s="19" t="n">
        <v>1</v>
      </c>
      <c r="E14" t="inlineStr">
        <is>
          <t>배</t>
        </is>
      </c>
      <c r="F14" s="2" t="inlineStr">
        <is>
          <t>case/analysis.md 7.4절 (시나리오 0.25/0.5/1.0). 0.25는 전용 셀 시제품 '4배 빨라져야 동등' 역산 (reference/case--ams-cellios-automated-harness.md). 0.5는 PoC 기술 가능성 게이트이며 ROI 성립 기준이 아니다</t>
        </is>
      </c>
      <c r="G14" t="inlineStr">
        <is>
          <t>추정</t>
        </is>
      </c>
    </row>
    <row r="15">
      <c r="A15" t="inlineStr">
        <is>
          <t>A08</t>
        </is>
      </c>
      <c r="B15" t="inlineStr">
        <is>
          <t>성능</t>
        </is>
      </c>
      <c r="C15" s="2" t="inlineStr">
        <is>
          <t>자동 처리 성공률</t>
        </is>
      </c>
      <c r="D15" s="20" t="n">
        <v>0.95</v>
      </c>
      <c r="E15" t="inlineStr">
        <is>
          <t>%</t>
        </is>
      </c>
      <c r="F15" s="2" t="inlineStr">
        <is>
          <t>case/analysis.md 7.4절 (PoC 목표값, 시나리오 70/85/95). 공개 연구 55~90%대는 조건이 달라 직접 비교 불가</t>
        </is>
      </c>
      <c r="G15" t="inlineStr">
        <is>
          <t>추정</t>
        </is>
      </c>
    </row>
    <row r="16">
      <c r="A16" t="inlineStr">
        <is>
          <t>A09</t>
        </is>
      </c>
      <c r="B16" t="inlineStr">
        <is>
          <t>성능</t>
        </is>
      </c>
      <c r="C16" s="2" t="inlineStr">
        <is>
          <t>가동률</t>
        </is>
      </c>
      <c r="D16" s="20" t="n">
        <v>1</v>
      </c>
      <c r="E16" t="inlineStr">
        <is>
          <t>%</t>
        </is>
      </c>
      <c r="F16" s="2" t="inlineStr">
        <is>
          <t>case/analysis.md 7.5절은 가동률 항이 없어 100%로 암묵 적용(성공률이 재작업 손실을 흡수). 민감도에서 60~100%로 변화</t>
        </is>
      </c>
      <c r="G16" t="inlineStr">
        <is>
          <t>추정</t>
        </is>
      </c>
    </row>
    <row r="17">
      <c r="A17" t="inlineStr">
        <is>
          <t>A10</t>
        </is>
      </c>
      <c r="B17" t="inlineStr">
        <is>
          <t>성능</t>
        </is>
      </c>
      <c r="C17" s="2" t="inlineStr">
        <is>
          <t>속도비 PoC 통과 게이트(기술 가능성 기준)</t>
        </is>
      </c>
      <c r="D17" s="19" t="n">
        <v>0.5</v>
      </c>
      <c r="E17" t="inlineStr">
        <is>
          <t>배</t>
        </is>
      </c>
      <c r="F17" s="2" t="inlineStr">
        <is>
          <t>case/analysis.md 7.5절 해석: 기술 가능성 게이트이며 ROI 기준 아님. 계산에는 쓰지 않고 요약 표시용</t>
        </is>
      </c>
      <c r="G17" t="inlineStr">
        <is>
          <t>추정</t>
        </is>
      </c>
    </row>
    <row r="18">
      <c r="A18" s="15" t="inlineStr">
        <is>
          <t>3. 인건비 (Q8 우선, 2027 기준, 원화)</t>
        </is>
      </c>
      <c r="B18" s="16" t="n"/>
      <c r="C18" s="16" t="n"/>
      <c r="D18" s="16" t="n"/>
      <c r="E18" s="16" t="n"/>
      <c r="F18" s="16" t="n"/>
      <c r="G18" s="16" t="n"/>
    </row>
    <row r="19">
      <c r="A19" t="inlineStr">
        <is>
          <t>A11</t>
        </is>
      </c>
      <c r="B19" t="inlineStr">
        <is>
          <t>인건비</t>
        </is>
      </c>
      <c r="C19" s="2" t="inlineStr">
        <is>
          <t>통상시급 w - 하한 (2027 최저임금)</t>
        </is>
      </c>
      <c r="D19" s="21" t="n">
        <v>10700</v>
      </c>
      <c r="E19" t="inlineStr">
        <is>
          <t>원/시간</t>
        </is>
      </c>
      <c r="F19" s="2" t="inlineStr">
        <is>
          <t>research/q8-wage-inputs.md 1절. 고용노동부 보도자료 https://www.moel.go.kr/news/enews/report/enewsView.do?news_seq=19744 (reference/market--moel-minimum-wage-2027.md)</t>
        </is>
      </c>
      <c r="G19" t="inlineStr">
        <is>
          <t>1차</t>
        </is>
      </c>
    </row>
    <row r="20">
      <c r="A20" t="inlineStr">
        <is>
          <t>A12</t>
        </is>
      </c>
      <c r="B20" t="inlineStr">
        <is>
          <t>인건비</t>
        </is>
      </c>
      <c r="C20" s="2" t="inlineStr">
        <is>
          <t>통상시급 w - 기본 (부품조립원 일급 110,036원/8 x 1.037)</t>
        </is>
      </c>
      <c r="D20" s="21" t="n">
        <v>14263</v>
      </c>
      <c r="E20" t="inlineStr">
        <is>
          <t>원/시간</t>
        </is>
      </c>
      <c r="F20" s="2" t="inlineStr">
        <is>
          <t>research/q8-wage-inputs.md 5절. 중기중앙회 부품조립원 일급(2026-03) 헤럴드경제 https://www.heraldk.com/article/2026062819000081528 (reference/market--heraldk-sme-wage-2026h1.md). 하네스 조립원 직종 매핑 미확정</t>
        </is>
      </c>
      <c r="G20" t="inlineStr">
        <is>
          <t>추정</t>
        </is>
      </c>
    </row>
    <row r="21">
      <c r="A21" t="inlineStr">
        <is>
          <t>A13</t>
        </is>
      </c>
      <c r="B21" t="inlineStr">
        <is>
          <t>인건비</t>
        </is>
      </c>
      <c r="C21" s="2" t="inlineStr">
        <is>
          <t>통상시급 w - 상한 (생산직 129개 직종 평균 일급 120,610원/8 x 1.037)</t>
        </is>
      </c>
      <c r="D21" s="21" t="n">
        <v>15634</v>
      </c>
      <c r="E21" t="inlineStr">
        <is>
          <t>원/시간</t>
        </is>
      </c>
      <c r="F21" s="2" t="inlineStr">
        <is>
          <t>research/q8-wage-inputs.md 5절. 같은 출처 (reference/market--heraldk-sme-wage-2026h1.md)</t>
        </is>
      </c>
      <c r="G21" t="inlineStr">
        <is>
          <t>추정</t>
        </is>
      </c>
    </row>
    <row r="22">
      <c r="A22" t="inlineStr">
        <is>
          <t>A14</t>
        </is>
      </c>
      <c r="B22" t="inlineStr">
        <is>
          <t>인건비</t>
        </is>
      </c>
      <c r="C22" s="2" t="inlineStr">
        <is>
          <t>야간조 인원 비율 p - 하한</t>
        </is>
      </c>
      <c r="D22" s="19" t="n">
        <v>0</v>
      </c>
      <c r="E22" t="inlineStr">
        <is>
          <t>비율</t>
        </is>
      </c>
      <c r="F22" s="2" t="inlineStr">
        <is>
          <t>research/q8-wage-inputs.md 5절 (06~14/14~22시 편성, 야간 없음)</t>
        </is>
      </c>
      <c r="G22" t="inlineStr">
        <is>
          <t>추정</t>
        </is>
      </c>
    </row>
    <row r="23">
      <c r="A23" t="inlineStr">
        <is>
          <t>A15</t>
        </is>
      </c>
      <c r="B23" t="inlineStr">
        <is>
          <t>인건비</t>
        </is>
      </c>
      <c r="C23" s="2" t="inlineStr">
        <is>
          <t>야간조 인원 비율 p - 기본</t>
        </is>
      </c>
      <c r="D23" s="19" t="n">
        <v>0.5</v>
      </c>
      <c r="E23" t="inlineStr">
        <is>
          <t>비율</t>
        </is>
      </c>
      <c r="F23" s="2" t="inlineStr">
        <is>
          <t>research/q8-wage-inputs.md 5절 (2교대 중 야간조 절반). 국내 하네스 사업장 교대 시각 미확인</t>
        </is>
      </c>
      <c r="G23" t="inlineStr">
        <is>
          <t>추정</t>
        </is>
      </c>
    </row>
    <row r="24">
      <c r="A24" t="inlineStr">
        <is>
          <t>A16</t>
        </is>
      </c>
      <c r="B24" t="inlineStr">
        <is>
          <t>인건비</t>
        </is>
      </c>
      <c r="C24" s="2" t="inlineStr">
        <is>
          <t>야간조 인원 비율 p - 상한</t>
        </is>
      </c>
      <c r="D24" s="19" t="n">
        <v>0.5</v>
      </c>
      <c r="E24" t="inlineStr">
        <is>
          <t>비율</t>
        </is>
      </c>
      <c r="F24" s="2" t="inlineStr">
        <is>
          <t>research/q8-wage-inputs.md 5절</t>
        </is>
      </c>
      <c r="G24" t="inlineStr">
        <is>
          <t>추정</t>
        </is>
      </c>
    </row>
    <row r="25">
      <c r="A25" t="inlineStr">
        <is>
          <t>A17</t>
        </is>
      </c>
      <c r="B25" t="inlineStr">
        <is>
          <t>인건비</t>
        </is>
      </c>
      <c r="C25" s="2" t="inlineStr">
        <is>
          <t>월 연장근로 OT - 하한</t>
        </is>
      </c>
      <c r="D25" s="18" t="n">
        <v>0</v>
      </c>
      <c r="E25" t="inlineStr">
        <is>
          <t>시간/월</t>
        </is>
      </c>
      <c r="F25" s="2" t="inlineStr">
        <is>
          <t>research/q8-wage-inputs.md 5절</t>
        </is>
      </c>
      <c r="G25" t="inlineStr">
        <is>
          <t>추정</t>
        </is>
      </c>
    </row>
    <row r="26">
      <c r="A26" t="inlineStr">
        <is>
          <t>A18</t>
        </is>
      </c>
      <c r="B26" t="inlineStr">
        <is>
          <t>인건비</t>
        </is>
      </c>
      <c r="C26" s="2" t="inlineStr">
        <is>
          <t>월 연장근로 OT - 기본 (주 7.5시간 x 4.345주)</t>
        </is>
      </c>
      <c r="D26" s="18" t="n">
        <v>32.6</v>
      </c>
      <c r="E26" t="inlineStr">
        <is>
          <t>시간/월</t>
        </is>
      </c>
      <c r="F26" s="2" t="inlineStr">
        <is>
          <t>research/q8-wage-inputs.md 5절. 화성 하네스 조립·포장 공고 (reference/market--jobploy-hwaseong-harness-pack.md)</t>
        </is>
      </c>
      <c r="G26" t="inlineStr">
        <is>
          <t>추정</t>
        </is>
      </c>
    </row>
    <row r="27">
      <c r="A27" t="inlineStr">
        <is>
          <t>A19</t>
        </is>
      </c>
      <c r="B27" t="inlineStr">
        <is>
          <t>인건비</t>
        </is>
      </c>
      <c r="C27" s="2" t="inlineStr">
        <is>
          <t>월 연장근로 OT - 상한 (일 2시간 x 약 21.75일)</t>
        </is>
      </c>
      <c r="D27" s="18" t="n">
        <v>43.5</v>
      </c>
      <c r="E27" t="inlineStr">
        <is>
          <t>시간/월</t>
        </is>
      </c>
      <c r="F27" s="2" t="inlineStr">
        <is>
          <t>research/q8-wage-inputs.md 5절. 득영 공고, 비하네스 (reference/market--jobploy-deukyoung-2shift.md)</t>
        </is>
      </c>
      <c r="G27" t="inlineStr">
        <is>
          <t>추정</t>
        </is>
      </c>
    </row>
    <row r="28">
      <c r="A28" t="inlineStr">
        <is>
          <t>A20</t>
        </is>
      </c>
      <c r="B28" t="inlineStr">
        <is>
          <t>인건비</t>
        </is>
      </c>
      <c r="C28" s="2" t="inlineStr">
        <is>
          <t>월 소정근로 환산시간 (주 40시간 + 주휴 8시간)</t>
        </is>
      </c>
      <c r="D28" s="18" t="n">
        <v>209</v>
      </c>
      <c r="E28" t="inlineStr">
        <is>
          <t>시간/월</t>
        </is>
      </c>
      <c r="F28" s="2" t="inlineStr">
        <is>
          <t>research/q8-wage-inputs.md 1절. 고용노동부 보도자료 https://www.moel.go.kr/news/enews/report/enewsView.do?news_seq=19744 (reference/market--moel-minimum-wage-2027.md)</t>
        </is>
      </c>
      <c r="G28" t="inlineStr">
        <is>
          <t>1차</t>
        </is>
      </c>
    </row>
    <row r="29">
      <c r="A29" t="inlineStr">
        <is>
          <t>A21</t>
        </is>
      </c>
      <c r="B29" t="inlineStr">
        <is>
          <t>인건비</t>
        </is>
      </c>
      <c r="C29" s="2" t="inlineStr">
        <is>
          <t>월 실근로시간 (40시간 x 52주 / 12)</t>
        </is>
      </c>
      <c r="D29" s="18" t="n">
        <v>173.3</v>
      </c>
      <c r="E29" t="inlineStr">
        <is>
          <t>시간/월</t>
        </is>
      </c>
      <c r="F29" s="2" t="inlineStr">
        <is>
          <t>research/q8-wage-inputs.md 4절 (계산). 야간가산은 실근로 시간에만 적용</t>
        </is>
      </c>
      <c r="G29" t="inlineStr">
        <is>
          <t>계산</t>
        </is>
      </c>
    </row>
    <row r="30">
      <c r="A30" t="inlineStr">
        <is>
          <t>A22</t>
        </is>
      </c>
      <c r="B30" t="inlineStr">
        <is>
          <t>인건비</t>
        </is>
      </c>
      <c r="C30" s="2" t="inlineStr">
        <is>
          <t>연장근로 가산 포함 배율</t>
        </is>
      </c>
      <c r="D30" s="18" t="n">
        <v>1.5</v>
      </c>
      <c r="E30" t="inlineStr">
        <is>
          <t>배</t>
        </is>
      </c>
      <c r="F30" s="2" t="inlineStr">
        <is>
          <t>근로기준법 제56조. reference/market--easylaw-working-hours-premium.md (research/q8 4절)</t>
        </is>
      </c>
      <c r="G30" t="inlineStr">
        <is>
          <t>1차</t>
        </is>
      </c>
    </row>
    <row r="31">
      <c r="A31" t="inlineStr">
        <is>
          <t>A23</t>
        </is>
      </c>
      <c r="B31" t="inlineStr">
        <is>
          <t>인건비</t>
        </is>
      </c>
      <c r="C31" s="2" t="inlineStr">
        <is>
          <t>야간근로 가산(추가분)</t>
        </is>
      </c>
      <c r="D31" s="18" t="n">
        <v>0.5</v>
      </c>
      <c r="E31" t="inlineStr">
        <is>
          <t>비율</t>
        </is>
      </c>
      <c r="F31" s="2" t="inlineStr">
        <is>
          <t>근로기준법 제56조 (같은 파일). 야간+연장이 겹치면 둘 다 가산(검색 요약, 원문 미열람)</t>
        </is>
      </c>
      <c r="G31" t="inlineStr">
        <is>
          <t>1차</t>
        </is>
      </c>
    </row>
    <row r="32">
      <c r="A32" t="inlineStr">
        <is>
          <t>A24</t>
        </is>
      </c>
      <c r="B32" t="inlineStr">
        <is>
          <t>인건비</t>
        </is>
      </c>
      <c r="C32" s="2" t="inlineStr">
        <is>
          <t>사업주 국민연금 (2027)</t>
        </is>
      </c>
      <c r="D32" s="22" t="n">
        <v>0.05</v>
      </c>
      <c r="E32" t="inlineStr">
        <is>
          <t>임금 대비</t>
        </is>
      </c>
      <c r="F32" s="2" t="inlineStr">
        <is>
          <t>research/q8-wage-inputs.md 3절. 2026 4.75%, 2027 법정 스케줄 연장 5.0%. https://www.nps.or.kr/pnsinfo/ntpsklg/getOHAF0038M0.do (reference/market--nps-premium-rate.md)</t>
        </is>
      </c>
      <c r="G32" t="inlineStr">
        <is>
          <t>추정</t>
        </is>
      </c>
    </row>
    <row r="33">
      <c r="A33" t="inlineStr">
        <is>
          <t>A25</t>
        </is>
      </c>
      <c r="B33" t="inlineStr">
        <is>
          <t>인건비</t>
        </is>
      </c>
      <c r="C33" s="2" t="inlineStr">
        <is>
          <t>사업주 건강보험 (2026 값 유지)</t>
        </is>
      </c>
      <c r="D33" s="23" t="n">
        <v>0.03595</v>
      </c>
      <c r="E33" t="inlineStr">
        <is>
          <t>임금 대비</t>
        </is>
      </c>
      <c r="F33" s="2" t="inlineStr">
        <is>
          <t>research/q8-wage-inputs.md 3절. 보험료율 7.19%의 절반 (reference/market--mohw-health-insurance-rate-2026.md). 2027 확정치 미확인</t>
        </is>
      </c>
      <c r="G33" t="inlineStr">
        <is>
          <t>추정</t>
        </is>
      </c>
    </row>
    <row r="34">
      <c r="A34" t="inlineStr">
        <is>
          <t>A26</t>
        </is>
      </c>
      <c r="B34" t="inlineStr">
        <is>
          <t>인건비</t>
        </is>
      </c>
      <c r="C34" s="2" t="inlineStr">
        <is>
          <t>사업주 장기요양 (2026 값 유지)</t>
        </is>
      </c>
      <c r="D34" s="24" t="n">
        <v>0.004724</v>
      </c>
      <c r="E34" t="inlineStr">
        <is>
          <t>임금 대비</t>
        </is>
      </c>
      <c r="F34" s="2" t="inlineStr">
        <is>
          <t>research/q8-wage-inputs.md 3절 (reference/market--mohw-ltc-rate-2026.md)</t>
        </is>
      </c>
      <c r="G34" t="inlineStr">
        <is>
          <t>추정</t>
        </is>
      </c>
    </row>
    <row r="35">
      <c r="A35" t="inlineStr">
        <is>
          <t>A27</t>
        </is>
      </c>
      <c r="B35" t="inlineStr">
        <is>
          <t>인건비</t>
        </is>
      </c>
      <c r="C35" s="2" t="inlineStr">
        <is>
          <t>사업주 고용보험 실업급여</t>
        </is>
      </c>
      <c r="D35" s="22" t="n">
        <v>0.008999999999999999</v>
      </c>
      <c r="E35" t="inlineStr">
        <is>
          <t>임금 대비</t>
        </is>
      </c>
      <c r="F35" s="2" t="inlineStr">
        <is>
          <t>research/q8-wage-inputs.md 3절. https://www.comwel.or.kr/comwel/paym/insu/chek3.jsp (reference/market--comwel-insurance-rates.md)</t>
        </is>
      </c>
      <c r="G35" t="inlineStr">
        <is>
          <t>1차</t>
        </is>
      </c>
    </row>
    <row r="36">
      <c r="A36" t="inlineStr">
        <is>
          <t>A28</t>
        </is>
      </c>
      <c r="B36" t="inlineStr">
        <is>
          <t>인건비</t>
        </is>
      </c>
      <c r="C36" s="2" t="inlineStr">
        <is>
          <t>고용안정·직업능력개발 - 하한 (150인 미만)</t>
        </is>
      </c>
      <c r="D36" s="22" t="n">
        <v>0.0025</v>
      </c>
      <c r="E36" t="inlineStr">
        <is>
          <t>임금 대비</t>
        </is>
      </c>
      <c r="F36" s="2" t="inlineStr">
        <is>
          <t>research/q8-wage-inputs.md 3절 (같은 파일)</t>
        </is>
      </c>
      <c r="G36" t="inlineStr">
        <is>
          <t>1차</t>
        </is>
      </c>
    </row>
    <row r="37">
      <c r="A37" t="inlineStr">
        <is>
          <t>A29</t>
        </is>
      </c>
      <c r="B37" t="inlineStr">
        <is>
          <t>인건비</t>
        </is>
      </c>
      <c r="C37" s="2" t="inlineStr">
        <is>
          <t>고용안정·직업능력개발 - 기본 (150~1,000인 미만)</t>
        </is>
      </c>
      <c r="D37" s="22" t="n">
        <v>0.0065</v>
      </c>
      <c r="E37" t="inlineStr">
        <is>
          <t>임금 대비</t>
        </is>
      </c>
      <c r="F37" s="2" t="inlineStr">
        <is>
          <t>research/q8-wage-inputs.md 3절</t>
        </is>
      </c>
      <c r="G37" t="inlineStr">
        <is>
          <t>1차</t>
        </is>
      </c>
    </row>
    <row r="38">
      <c r="A38" t="inlineStr">
        <is>
          <t>A30</t>
        </is>
      </c>
      <c r="B38" t="inlineStr">
        <is>
          <t>인건비</t>
        </is>
      </c>
      <c r="C38" s="2" t="inlineStr">
        <is>
          <t>고용안정·직업능력개발 - 상한 (1,000인 이상)</t>
        </is>
      </c>
      <c r="D38" s="22" t="n">
        <v>0.008500000000000001</v>
      </c>
      <c r="E38" t="inlineStr">
        <is>
          <t>임금 대비</t>
        </is>
      </c>
      <c r="F38" s="2" t="inlineStr">
        <is>
          <t>research/q8-wage-inputs.md 3절</t>
        </is>
      </c>
      <c r="G38" t="inlineStr">
        <is>
          <t>1차</t>
        </is>
      </c>
    </row>
    <row r="39">
      <c r="A39" t="inlineStr">
        <is>
          <t>A31</t>
        </is>
      </c>
      <c r="B39" t="inlineStr">
        <is>
          <t>인건비</t>
        </is>
      </c>
      <c r="C39" s="2" t="inlineStr">
        <is>
          <t>산재보험 - 하한 (전기기계기구 제조업 6.6‰, 2차 계산기 표기)</t>
        </is>
      </c>
      <c r="D39" s="22" t="n">
        <v>0.0066</v>
      </c>
      <c r="E39" t="inlineStr">
        <is>
          <t>임금 대비</t>
        </is>
      </c>
      <c r="F39" s="2" t="inlineStr">
        <is>
          <t>research/q8-wage-inputs.md 3절. 하네스 사업종류 요율 미확인</t>
        </is>
      </c>
      <c r="G39" t="inlineStr">
        <is>
          <t>추정</t>
        </is>
      </c>
    </row>
    <row r="40">
      <c r="A40" t="inlineStr">
        <is>
          <t>A32</t>
        </is>
      </c>
      <c r="B40" t="inlineStr">
        <is>
          <t>인건비</t>
        </is>
      </c>
      <c r="C40" s="2" t="inlineStr">
        <is>
          <t>산재보험 - 기본 (전 업종 평균, 출퇴근 포함)</t>
        </is>
      </c>
      <c r="D40" s="22" t="n">
        <v>0.0147</v>
      </c>
      <c r="E40" t="inlineStr">
        <is>
          <t>임금 대비</t>
        </is>
      </c>
      <c r="F40" s="2" t="inlineStr">
        <is>
          <t>research/q8-wage-inputs.md 3절. https://www.moel.go.kr/news/enews/report/enewsView.do?news_seq=18810 (reference/market--moel-sanjae-rate-2026.md). 제조업 평균 아님</t>
        </is>
      </c>
      <c r="G40" t="inlineStr">
        <is>
          <t>1차</t>
        </is>
      </c>
    </row>
    <row r="41">
      <c r="A41" t="inlineStr">
        <is>
          <t>A33</t>
        </is>
      </c>
      <c r="B41" t="inlineStr">
        <is>
          <t>인건비</t>
        </is>
      </c>
      <c r="C41" s="2" t="inlineStr">
        <is>
          <t>산재보험 - 상한</t>
        </is>
      </c>
      <c r="D41" s="22" t="n">
        <v>0.0147</v>
      </c>
      <c r="E41" t="inlineStr">
        <is>
          <t>임금 대비</t>
        </is>
      </c>
      <c r="F41" s="2" t="inlineStr">
        <is>
          <t>research/q8-wage-inputs.md 3절</t>
        </is>
      </c>
      <c r="G41" t="inlineStr">
        <is>
          <t>추정</t>
        </is>
      </c>
    </row>
    <row r="42">
      <c r="A42" t="inlineStr">
        <is>
          <t>A34</t>
        </is>
      </c>
      <c r="B42" t="inlineStr">
        <is>
          <t>인건비</t>
        </is>
      </c>
      <c r="C42" s="2" t="inlineStr">
        <is>
          <t>퇴직급여 (연 임금총액의 1/12)</t>
        </is>
      </c>
      <c r="D42" s="22" t="n">
        <v>0.08333333333333333</v>
      </c>
      <c r="E42" t="inlineStr">
        <is>
          <t>임금 대비</t>
        </is>
      </c>
      <c r="F42" s="2" t="inlineStr">
        <is>
          <t>research/q8-wage-inputs.md 3절. 근로자퇴직급여 보장법 (reference/market--law-retirement-benefit-act.md). 1/12 환산은 계산</t>
        </is>
      </c>
      <c r="G42" t="inlineStr">
        <is>
          <t>계산</t>
        </is>
      </c>
    </row>
    <row r="43">
      <c r="A43" t="inlineStr">
        <is>
          <t>A35</t>
        </is>
      </c>
      <c r="B43" t="inlineStr">
        <is>
          <t>인건비</t>
        </is>
      </c>
      <c r="C43" s="2" t="inlineStr">
        <is>
          <t>[검산용 구 가정] 연 인건비/인 - 기본 (야간·연장 미반영)</t>
        </is>
      </c>
      <c r="D43" s="21" t="n">
        <v>47000000</v>
      </c>
      <c r="E43" t="inlineStr">
        <is>
          <t>원/년/인</t>
        </is>
      </c>
      <c r="F43" s="2" t="inlineStr">
        <is>
          <t>case/analysis.md 7.2절 (산술 중간값). Q7 재현과 7.5절 표 검산에만 사용</t>
        </is>
      </c>
      <c r="G43" t="inlineStr">
        <is>
          <t>추정</t>
        </is>
      </c>
    </row>
    <row r="44">
      <c r="A44" t="inlineStr">
        <is>
          <t>A36</t>
        </is>
      </c>
      <c r="B44" t="inlineStr">
        <is>
          <t>인건비</t>
        </is>
      </c>
      <c r="C44" s="2" t="inlineStr">
        <is>
          <t>[검산용 구 가정] 유지보수비 (하드웨어 전체 대비, 손 교체 포함 여부 미정의)</t>
        </is>
      </c>
      <c r="D44" s="20" t="n">
        <v>0.1</v>
      </c>
      <c r="E44" t="inlineStr">
        <is>
          <t>%/년</t>
        </is>
      </c>
      <c r="F44" s="2" t="inlineStr">
        <is>
          <t>case/analysis.md 7.4절. Q7/Q8이 분리 필요로 판정(이중 계산). 검산에만 사용</t>
        </is>
      </c>
      <c r="G44" t="inlineStr">
        <is>
          <t>추정</t>
        </is>
      </c>
    </row>
    <row r="45">
      <c r="A45" s="15" t="inlineStr">
        <is>
          <t>4. 로봇 투자 (USD, 환율 1,400원)</t>
        </is>
      </c>
      <c r="B45" s="16" t="n"/>
      <c r="C45" s="16" t="n"/>
      <c r="D45" s="16" t="n"/>
      <c r="E45" s="16" t="n"/>
      <c r="F45" s="16" t="n"/>
      <c r="G45" s="16" t="n"/>
    </row>
    <row r="46">
      <c r="A46" t="inlineStr">
        <is>
          <t>A37</t>
        </is>
      </c>
      <c r="B46" t="inlineStr">
        <is>
          <t>투자</t>
        </is>
      </c>
      <c r="C46" s="2" t="inlineStr">
        <is>
          <t>환율</t>
        </is>
      </c>
      <c r="D46" s="21" t="n">
        <v>1400</v>
      </c>
      <c r="E46" t="inlineStr">
        <is>
          <t>원/USD</t>
        </is>
      </c>
      <c r="F46" s="2" t="inlineStr">
        <is>
          <t>case/analysis.md 7절 머리말 (2025-04 기사 환산에서 역산, 기준일 환율 미반영). B3 실행 시 기준일 환율로 교체 필요</t>
        </is>
      </c>
      <c r="G46" t="inlineStr">
        <is>
          <t>추정</t>
        </is>
      </c>
    </row>
    <row r="47">
      <c r="A47" t="inlineStr">
        <is>
          <t>A38</t>
        </is>
      </c>
      <c r="B47" t="inlineStr">
        <is>
          <t>투자</t>
        </is>
      </c>
      <c r="C47" s="2" t="inlineStr">
        <is>
          <t>협동로봇 팔 단가 (UR5e급, 범위 30,000~45,000)</t>
        </is>
      </c>
      <c r="D47" s="21" t="n">
        <v>37500</v>
      </c>
      <c r="E47" t="inlineStr">
        <is>
          <t>USD/대</t>
        </is>
      </c>
      <c r="F47" s="2" t="inlineStr">
        <is>
          <t>case/analysis.md 7.3절 [31]. https://standardbots.com/blog/universal-robot-price (reference/hardware--ur-price-guide.md). 중간값은 추정</t>
        </is>
      </c>
      <c r="G47" t="inlineStr">
        <is>
          <t>2차</t>
        </is>
      </c>
    </row>
    <row r="48">
      <c r="A48" t="inlineStr">
        <is>
          <t>A39</t>
        </is>
      </c>
      <c r="B48" t="inlineStr">
        <is>
          <t>투자</t>
        </is>
      </c>
      <c r="C48" s="2" t="inlineStr">
        <is>
          <t>팔 수</t>
        </is>
      </c>
      <c r="D48" s="17" t="n">
        <v>2</v>
      </c>
      <c r="E48" t="inlineStr">
        <is>
          <t>대</t>
        </is>
      </c>
      <c r="F48" s="2" t="inlineStr">
        <is>
          <t>case/analysis.md 7.3절 (양팔 구성)</t>
        </is>
      </c>
      <c r="G48" t="inlineStr">
        <is>
          <t>추정</t>
        </is>
      </c>
    </row>
    <row r="49">
      <c r="A49" t="inlineStr">
        <is>
          <t>A40</t>
        </is>
      </c>
      <c r="B49" t="inlineStr">
        <is>
          <t>투자</t>
        </is>
      </c>
      <c r="C49" s="2" t="inlineStr">
        <is>
          <t>다관절 손(20-DoF) 단가</t>
        </is>
      </c>
      <c r="D49" s="21" t="n">
        <v>23000</v>
      </c>
      <c r="E49" t="inlineStr">
        <is>
          <t>USD/개</t>
        </is>
      </c>
      <c r="F49" s="2" t="inlineStr">
        <is>
          <t>case/analysis.md 7.3절 [32], research/q7 6-1절. https://humanoid.guide/product/dg-5f-s/ (reference/hardware--tesollo-dg5f-s.md). 제품 DB 표기 $23,000(기본 시나리오 유지). 충돌값: RLWRLD 블로그 약 $7,500(research/q9-allhandsup.md 7절, reference/hardware--allhandsup-blog-part2.md)은 D87에 시나리오로 입력. 둘 다 공식 견적 아님 - 추정. Tesollo 공식 견적으로 확정 전까지 헤드라인에 반영하지 않음. 이 셀 하나가 투자비·통합비·손 소모비를 모두 구동</t>
        </is>
      </c>
      <c r="G49" t="inlineStr">
        <is>
          <t>추정</t>
        </is>
      </c>
    </row>
    <row r="50">
      <c r="A50" t="inlineStr">
        <is>
          <t>A41</t>
        </is>
      </c>
      <c r="B50" t="inlineStr">
        <is>
          <t>투자</t>
        </is>
      </c>
      <c r="C50" s="2" t="inlineStr">
        <is>
          <t>손 개수</t>
        </is>
      </c>
      <c r="D50" s="17" t="n">
        <v>2</v>
      </c>
      <c r="E50" t="inlineStr">
        <is>
          <t>개/셀</t>
        </is>
      </c>
      <c r="F50" s="2" t="inlineStr">
        <is>
          <t>case/analysis.md 7.3절</t>
        </is>
      </c>
      <c r="G50" t="inlineStr">
        <is>
          <t>추정</t>
        </is>
      </c>
    </row>
    <row r="51">
      <c r="A51" t="inlineStr">
        <is>
          <t>A42</t>
        </is>
      </c>
      <c r="B51" t="inlineStr">
        <is>
          <t>투자</t>
        </is>
      </c>
      <c r="C51" s="2" t="inlineStr">
        <is>
          <t>촉각 센서 단가 (GelSight Mini 대리값)</t>
        </is>
      </c>
      <c r="D51" s="21" t="n">
        <v>510</v>
      </c>
      <c r="E51" t="inlineStr">
        <is>
          <t>USD/개</t>
        </is>
      </c>
      <c r="F51" s="2" t="inlineStr">
        <is>
          <t>case/analysis.md 7.3절 [35]. https://www.gelsight.com/product/gelsight-mini-system/ (reference/hardware--gelsight-mini.md). 대리값</t>
        </is>
      </c>
      <c r="G51" t="inlineStr">
        <is>
          <t>추정</t>
        </is>
      </c>
    </row>
    <row r="52">
      <c r="A52" t="inlineStr">
        <is>
          <t>A43</t>
        </is>
      </c>
      <c r="B52" t="inlineStr">
        <is>
          <t>투자</t>
        </is>
      </c>
      <c r="C52" s="2" t="inlineStr">
        <is>
          <t>촉각 센서 수 (손끝 4 x 손 2)</t>
        </is>
      </c>
      <c r="D52" s="17" t="n">
        <v>8</v>
      </c>
      <c r="E52" t="inlineStr">
        <is>
          <t>개</t>
        </is>
      </c>
      <c r="F52" s="2" t="inlineStr">
        <is>
          <t>case/analysis.md 7.3절</t>
        </is>
      </c>
      <c r="G52" t="inlineStr">
        <is>
          <t>추정</t>
        </is>
      </c>
    </row>
    <row r="53">
      <c r="A53" t="inlineStr">
        <is>
          <t>A44</t>
        </is>
      </c>
      <c r="B53" t="inlineStr">
        <is>
          <t>투자</t>
        </is>
      </c>
      <c r="C53" s="2" t="inlineStr">
        <is>
          <t>카메라 단가 (D455 대리값)</t>
        </is>
      </c>
      <c r="D53" s="21" t="n">
        <v>400</v>
      </c>
      <c r="E53" t="inlineStr">
        <is>
          <t>USD/대</t>
        </is>
      </c>
      <c r="F53" s="2" t="inlineStr">
        <is>
          <t>case/analysis.md 7.3절 (research/hardware.md 4절, 검색 요약 가격)</t>
        </is>
      </c>
      <c r="G53" t="inlineStr">
        <is>
          <t>추정</t>
        </is>
      </c>
    </row>
    <row r="54">
      <c r="A54" t="inlineStr">
        <is>
          <t>A45</t>
        </is>
      </c>
      <c r="B54" t="inlineStr">
        <is>
          <t>투자</t>
        </is>
      </c>
      <c r="C54" s="2" t="inlineStr">
        <is>
          <t>카메라 수</t>
        </is>
      </c>
      <c r="D54" s="17" t="n">
        <v>3</v>
      </c>
      <c r="E54" t="inlineStr">
        <is>
          <t>대</t>
        </is>
      </c>
      <c r="F54" s="2" t="inlineStr">
        <is>
          <t>case/analysis.md 7.3절 (근거 없음)</t>
        </is>
      </c>
      <c r="G54" t="inlineStr">
        <is>
          <t>추정</t>
        </is>
      </c>
    </row>
    <row r="55">
      <c r="A55" t="inlineStr">
        <is>
          <t>A46</t>
        </is>
      </c>
      <c r="B55" t="inlineStr">
        <is>
          <t>투자</t>
        </is>
      </c>
      <c r="C55" s="2" t="inlineStr">
        <is>
          <t>작업대·지그·공급장치</t>
        </is>
      </c>
      <c r="D55" s="21" t="n">
        <v>10000</v>
      </c>
      <c r="E55" t="inlineStr">
        <is>
          <t>USD/셀</t>
        </is>
      </c>
      <c r="F55" s="2" t="inlineStr">
        <is>
          <t>case/analysis.md 7.3절 (근거 없음, 견적 필요)</t>
        </is>
      </c>
      <c r="G55" t="inlineStr">
        <is>
          <t>추정</t>
        </is>
      </c>
    </row>
    <row r="56">
      <c r="A56" t="inlineStr">
        <is>
          <t>A47</t>
        </is>
      </c>
      <c r="B56" t="inlineStr">
        <is>
          <t>투자</t>
        </is>
      </c>
      <c r="C56" s="2" t="inlineStr">
        <is>
          <t>추론 PC (GPU)</t>
        </is>
      </c>
      <c r="D56" s="21" t="n">
        <v>5000</v>
      </c>
      <c r="E56" t="inlineStr">
        <is>
          <t>USD/셀</t>
        </is>
      </c>
      <c r="F56" s="2" t="inlineStr">
        <is>
          <t>case/analysis.md 7.3절 (근거 없음)</t>
        </is>
      </c>
      <c r="G56" t="inlineStr">
        <is>
          <t>추정</t>
        </is>
      </c>
    </row>
    <row r="57">
      <c r="A57" t="inlineStr">
        <is>
          <t>A48</t>
        </is>
      </c>
      <c r="B57" t="inlineStr">
        <is>
          <t>투자</t>
        </is>
      </c>
      <c r="C57" s="2" t="inlineStr">
        <is>
          <t>시스템 통합비 (하드웨어 대비, 범위 50~200%)</t>
        </is>
      </c>
      <c r="D57" s="20" t="n">
        <v>1</v>
      </c>
      <c r="E57" t="inlineStr">
        <is>
          <t>%</t>
        </is>
      </c>
      <c r="F57" s="2" t="inlineStr">
        <is>
          <t>case/analysis.md 7.3절 (출처 범위 50~200% 안의 임의 기준값, [31][36])</t>
        </is>
      </c>
      <c r="G57" t="inlineStr">
        <is>
          <t>추정</t>
        </is>
      </c>
    </row>
    <row r="58">
      <c r="A58" t="inlineStr">
        <is>
          <t>A49</t>
        </is>
      </c>
      <c r="B58" t="inlineStr">
        <is>
          <t>투자</t>
        </is>
      </c>
      <c r="C58" s="2" t="inlineStr">
        <is>
          <t>초기 데이터 수집·학습비</t>
        </is>
      </c>
      <c r="D58" s="21" t="n">
        <v>0</v>
      </c>
      <c r="E58" t="inlineStr">
        <is>
          <t>원</t>
        </is>
      </c>
      <c r="F58" s="2" t="inlineStr">
        <is>
          <t>case/analysis.md 7.3절에 항목 없음. 0은 '통합비에 포함 가정'이며 미확인. PoC 견적으로 교체</t>
        </is>
      </c>
      <c r="G58" t="inlineStr">
        <is>
          <t>추정</t>
        </is>
      </c>
    </row>
    <row r="59">
      <c r="A59" s="15" t="inlineStr">
        <is>
          <t>5. 운영 비용 (손 소모는 팔·시스템 유지보수와 분리 - Q7)</t>
        </is>
      </c>
      <c r="B59" s="16" t="n"/>
      <c r="C59" s="16" t="n"/>
      <c r="D59" s="16" t="n"/>
      <c r="E59" s="16" t="n"/>
      <c r="F59" s="16" t="n"/>
      <c r="G59" s="16" t="n"/>
    </row>
    <row r="60">
      <c r="A60" t="inlineStr">
        <is>
          <t>A50</t>
        </is>
      </c>
      <c r="B60" t="inlineStr">
        <is>
          <t>운영</t>
        </is>
      </c>
      <c r="C60" s="2" t="inlineStr">
        <is>
          <t>팔·시스템 유지보수율 - 사용값 (손 제외 하드웨어 대비)</t>
        </is>
      </c>
      <c r="D60" s="20" t="n">
        <v>0.055</v>
      </c>
      <c r="E60" t="inlineStr">
        <is>
          <t>%/년</t>
        </is>
      </c>
      <c r="F60" s="2" t="inlineStr">
        <is>
          <t>research/q7-hand-replacement.md 4절: 협동로봇 연 3~8% (블로그 인용 '통합업체 공개치', 원천 미확인, reference/market--grabarobot-ur-spare-parts.md). 5.5%는 범위 중간값</t>
        </is>
      </c>
      <c r="G60" t="inlineStr">
        <is>
          <t>추정</t>
        </is>
      </c>
    </row>
    <row r="61">
      <c r="A61" t="inlineStr">
        <is>
          <t>A51</t>
        </is>
      </c>
      <c r="B61" t="inlineStr">
        <is>
          <t>운영</t>
        </is>
      </c>
      <c r="C61" s="2" t="inlineStr">
        <is>
          <t>팔·시스템 유지보수율 - 하한</t>
        </is>
      </c>
      <c r="D61" s="20" t="n">
        <v>0.03</v>
      </c>
      <c r="E61" t="inlineStr">
        <is>
          <t>%/년</t>
        </is>
      </c>
      <c r="F61" s="2" t="inlineStr">
        <is>
          <t>research/q7-hand-replacement.md 4절</t>
        </is>
      </c>
      <c r="G61" t="inlineStr">
        <is>
          <t>추정</t>
        </is>
      </c>
    </row>
    <row r="62">
      <c r="A62" t="inlineStr">
        <is>
          <t>A52</t>
        </is>
      </c>
      <c r="B62" t="inlineStr">
        <is>
          <t>운영</t>
        </is>
      </c>
      <c r="C62" s="2" t="inlineStr">
        <is>
          <t>팔·시스템 유지보수율 - 상한</t>
        </is>
      </c>
      <c r="D62" s="20" t="n">
        <v>0.08</v>
      </c>
      <c r="E62" t="inlineStr">
        <is>
          <t>%/년</t>
        </is>
      </c>
      <c r="F62" s="2" t="inlineStr">
        <is>
          <t>research/q7-hand-replacement.md 4절</t>
        </is>
      </c>
      <c r="G62" t="inlineStr">
        <is>
          <t>추정</t>
        </is>
      </c>
    </row>
    <row r="63">
      <c r="A63" t="inlineStr">
        <is>
          <t>A53</t>
        </is>
      </c>
      <c r="B63" t="inlineStr">
        <is>
          <t>운영</t>
        </is>
      </c>
      <c r="C63" s="2" t="inlineStr">
        <is>
          <t>f 정의의 기준 교대 수 (손 연 교체 횟수 f는 2교대 기준)</t>
        </is>
      </c>
      <c r="D63" s="17" t="n">
        <v>2</v>
      </c>
      <c r="E63" t="inlineStr">
        <is>
          <t>교대</t>
        </is>
      </c>
      <c r="F63" s="2" t="inlineStr">
        <is>
          <t>research/q7-hand-replacement.md 5·6절. 3교대는 손 가동 1.5배라 f도 1.5배</t>
        </is>
      </c>
      <c r="G63" t="inlineStr">
        <is>
          <t>추정</t>
        </is>
      </c>
    </row>
    <row r="64">
      <c r="A64" t="inlineStr">
        <is>
          <t>A54</t>
        </is>
      </c>
      <c r="B64" t="inlineStr">
        <is>
          <t>운영</t>
        </is>
      </c>
      <c r="C64" s="2" t="inlineStr">
        <is>
          <t>손 교체 f - 1 낙관 (손 1개당 연 교체 횟수)</t>
        </is>
      </c>
      <c r="D64" s="18" t="n">
        <v>1</v>
      </c>
      <c r="E64" t="inlineStr">
        <is>
          <t>회/년/손</t>
        </is>
      </c>
      <c r="F64" s="2" t="inlineStr">
        <is>
          <t>research/q7-hand-replacement.md 6절. 최고 업체 주장 100만 회 수준, 업체 주장 검증 후에만</t>
        </is>
      </c>
      <c r="G64" t="inlineStr">
        <is>
          <t>추정</t>
        </is>
      </c>
    </row>
    <row r="65">
      <c r="A65" t="inlineStr">
        <is>
          <t>A55</t>
        </is>
      </c>
      <c r="B65" t="inlineStr">
        <is>
          <t>운영</t>
        </is>
      </c>
      <c r="C65" s="2" t="inlineStr">
        <is>
          <t>교체당 비용 비율 - 1 낙관 (손 가격 대비, 모듈 교체)</t>
        </is>
      </c>
      <c r="D65" s="20" t="n">
        <v>0.2</v>
      </c>
      <c r="E65" t="inlineStr">
        <is>
          <t>%</t>
        </is>
      </c>
      <c r="F65" s="2" t="inlineStr">
        <is>
          <t>research/q7-hand-replacement.md 6-1절 (5지 중 1지, 센서 8개 교체 17.7%, UR 관절 16.6~25.3%). 모듈 단가 비공개</t>
        </is>
      </c>
      <c r="G65" t="inlineStr">
        <is>
          <t>추정</t>
        </is>
      </c>
    </row>
    <row r="66">
      <c r="A66" t="inlineStr">
        <is>
          <t>A56</t>
        </is>
      </c>
      <c r="B66" t="inlineStr">
        <is>
          <t>운영</t>
        </is>
      </c>
      <c r="C66" s="2" t="inlineStr">
        <is>
          <t>손 교체 f - 2 기본</t>
        </is>
      </c>
      <c r="D66" s="18" t="n">
        <v>2</v>
      </c>
      <c r="E66" t="inlineStr">
        <is>
          <t>회/년/손</t>
        </is>
      </c>
      <c r="F66" s="2" t="inlineStr">
        <is>
          <t>research/q7-hand-replacement.md 6절. 선도 업체 진술 30만~50만 회, 시중 1,000~2,000시간과 부합(duty 연 83만~165만 사이클)</t>
        </is>
      </c>
      <c r="G66" t="inlineStr">
        <is>
          <t>추정</t>
        </is>
      </c>
    </row>
    <row r="67">
      <c r="A67" t="inlineStr">
        <is>
          <t>A57</t>
        </is>
      </c>
      <c r="B67" t="inlineStr">
        <is>
          <t>운영</t>
        </is>
      </c>
      <c r="C67" s="2" t="inlineStr">
        <is>
          <t>교체당 비용 비율 - 2 기본</t>
        </is>
      </c>
      <c r="D67" s="20" t="n">
        <v>0.2</v>
      </c>
      <c r="E67" t="inlineStr">
        <is>
          <t>%</t>
        </is>
      </c>
      <c r="F67" s="2" t="inlineStr">
        <is>
          <t>research/q7-hand-replacement.md 6-1절</t>
        </is>
      </c>
      <c r="G67" t="inlineStr">
        <is>
          <t>추정</t>
        </is>
      </c>
    </row>
    <row r="68">
      <c r="A68" t="inlineStr">
        <is>
          <t>A58</t>
        </is>
      </c>
      <c r="B68" t="inlineStr">
        <is>
          <t>운영</t>
        </is>
      </c>
      <c r="C68" s="2" t="inlineStr">
        <is>
          <t>손 교체 f - 3 보수</t>
        </is>
      </c>
      <c r="D68" s="18" t="n">
        <v>2</v>
      </c>
      <c r="E68" t="inlineStr">
        <is>
          <t>회/년/손</t>
        </is>
      </c>
      <c r="F68" s="2" t="inlineStr">
        <is>
          <t>research/q7-hand-replacement.md 6절</t>
        </is>
      </c>
      <c r="G68" t="inlineStr">
        <is>
          <t>추정</t>
        </is>
      </c>
    </row>
    <row r="69">
      <c r="A69" t="inlineStr">
        <is>
          <t>A59</t>
        </is>
      </c>
      <c r="B69" t="inlineStr">
        <is>
          <t>운영</t>
        </is>
      </c>
      <c r="C69" s="2" t="inlineStr">
        <is>
          <t>교체당 비용 비율 - 3 보수 (손 전체 교체)</t>
        </is>
      </c>
      <c r="D69" s="20" t="n">
        <v>1</v>
      </c>
      <c r="E69" t="inlineStr">
        <is>
          <t>%</t>
        </is>
      </c>
      <c r="F69" s="2" t="inlineStr">
        <is>
          <t>research/q7-hand-replacement.md 6-1절 (Tesla 사례는 손 전체 교체, 출처 불명 기사)</t>
        </is>
      </c>
      <c r="G69" t="inlineStr">
        <is>
          <t>추정</t>
        </is>
      </c>
    </row>
    <row r="70">
      <c r="A70" t="inlineStr">
        <is>
          <t>A60</t>
        </is>
      </c>
      <c r="B70" t="inlineStr">
        <is>
          <t>운영</t>
        </is>
      </c>
      <c r="C70" s="2" t="inlineStr">
        <is>
          <t>손 교체 f - 4 교체 없음 (참고)</t>
        </is>
      </c>
      <c r="D70" s="18" t="n">
        <v>0</v>
      </c>
      <c r="E70" t="inlineStr">
        <is>
          <t>회/년/손</t>
        </is>
      </c>
      <c r="F70" s="2" t="inlineStr">
        <is>
          <t>case/analysis.md 7.5절 '교체비 0' 열. 상한 낙관 값</t>
        </is>
      </c>
      <c r="G70" t="inlineStr">
        <is>
          <t>추정</t>
        </is>
      </c>
    </row>
    <row r="71">
      <c r="A71" t="inlineStr">
        <is>
          <t>A61</t>
        </is>
      </c>
      <c r="B71" t="inlineStr">
        <is>
          <t>운영</t>
        </is>
      </c>
      <c r="C71" s="2" t="inlineStr">
        <is>
          <t>교체당 비용 비율 - 4 교체 없음</t>
        </is>
      </c>
      <c r="D71" s="20" t="n">
        <v>0</v>
      </c>
      <c r="E71" t="inlineStr">
        <is>
          <t>%</t>
        </is>
      </c>
      <c r="F71" s="2" t="inlineStr">
        <is>
          <t>같은 열</t>
        </is>
      </c>
      <c r="G71" t="inlineStr">
        <is>
          <t>추정</t>
        </is>
      </c>
    </row>
    <row r="72">
      <c r="A72" t="inlineStr">
        <is>
          <t>A62</t>
        </is>
      </c>
      <c r="B72" t="inlineStr">
        <is>
          <t>운영</t>
        </is>
      </c>
      <c r="C72" s="2" t="inlineStr">
        <is>
          <t>RFM 소프트웨어·모델 라이선스</t>
        </is>
      </c>
      <c r="D72" s="21" t="n">
        <v>0</v>
      </c>
      <c r="E72" t="inlineStr">
        <is>
          <t>원/년</t>
        </is>
      </c>
      <c r="F72" s="2" t="inlineStr">
        <is>
          <t>case/analysis.md 7.3절: 미확인 (RLDX-1 가중치 비상업 라이선스, 상용 조건 미공개). 0은 미반영이지 무료가 아님</t>
        </is>
      </c>
      <c r="G72" t="inlineStr">
        <is>
          <t>추정</t>
        </is>
      </c>
    </row>
    <row r="73">
      <c r="A73" t="inlineStr">
        <is>
          <t>A63</t>
        </is>
      </c>
      <c r="B73" t="inlineStr">
        <is>
          <t>운영</t>
        </is>
      </c>
      <c r="C73" s="2" t="inlineStr">
        <is>
          <t>관리 인력</t>
        </is>
      </c>
      <c r="D73" s="21" t="n">
        <v>0</v>
      </c>
      <c r="E73" t="inlineStr">
        <is>
          <t>원/년</t>
        </is>
      </c>
      <c r="F73" s="2" t="inlineStr">
        <is>
          <t>근거 없음, 미반영</t>
        </is>
      </c>
      <c r="G73" t="inlineStr">
        <is>
          <t>추정</t>
        </is>
      </c>
    </row>
    <row r="74">
      <c r="A74" t="inlineStr">
        <is>
          <t>A64</t>
        </is>
      </c>
      <c r="B74" t="inlineStr">
        <is>
          <t>운영</t>
        </is>
      </c>
      <c r="C74" s="2" t="inlineStr">
        <is>
          <t>전력</t>
        </is>
      </c>
      <c r="D74" s="21" t="n">
        <v>0</v>
      </c>
      <c r="E74" t="inlineStr">
        <is>
          <t>원/년</t>
        </is>
      </c>
      <c r="F74" s="2" t="inlineStr">
        <is>
          <t>근거 없음, 미반영(소액 가정)</t>
        </is>
      </c>
      <c r="G74" t="inlineStr">
        <is>
          <t>추정</t>
        </is>
      </c>
    </row>
    <row r="75">
      <c r="A75" s="15" t="inlineStr">
        <is>
          <t>6. 그리퍼 대조군 구성 (참고, 본 모델 합계 미포함)</t>
        </is>
      </c>
      <c r="B75" s="16" t="n"/>
      <c r="C75" s="16" t="n"/>
      <c r="D75" s="16" t="n"/>
      <c r="E75" s="16" t="n"/>
      <c r="F75" s="16" t="n"/>
      <c r="G75" s="16" t="n"/>
    </row>
    <row r="76">
      <c r="A76" t="inlineStr">
        <is>
          <t>A65</t>
        </is>
      </c>
      <c r="B76" t="inlineStr">
        <is>
          <t>대조군</t>
        </is>
      </c>
      <c r="C76" s="2" t="inlineStr">
        <is>
          <t>평행 그리퍼 단가 (Hand-E)</t>
        </is>
      </c>
      <c r="D76" s="21" t="n">
        <v>7250</v>
      </c>
      <c r="E76" t="inlineStr">
        <is>
          <t>USD/개</t>
        </is>
      </c>
      <c r="F76" s="2" t="inlineStr">
        <is>
          <t>case/analysis.md 7.3절 (리셀러 검색 요약, 미저장). reference/hardware--robotiq-hand-e.md에는 가격 없음</t>
        </is>
      </c>
      <c r="G76" t="inlineStr">
        <is>
          <t>추정</t>
        </is>
      </c>
    </row>
    <row r="77">
      <c r="A77" t="inlineStr">
        <is>
          <t>A66</t>
        </is>
      </c>
      <c r="B77" t="inlineStr">
        <is>
          <t>대조군</t>
        </is>
      </c>
      <c r="C77" s="2" t="inlineStr">
        <is>
          <t>그리퍼 개수</t>
        </is>
      </c>
      <c r="D77" s="17" t="n">
        <v>2</v>
      </c>
      <c r="E77" t="inlineStr">
        <is>
          <t>개/셀</t>
        </is>
      </c>
      <c r="F77" s="2" t="inlineStr">
        <is>
          <t>case/analysis.md 7.3절 (그리퍼 구성 105,700 USD = 75,000+14,500+...)</t>
        </is>
      </c>
      <c r="G77" t="inlineStr">
        <is>
          <t>추정</t>
        </is>
      </c>
    </row>
    <row r="78">
      <c r="A78" t="inlineStr">
        <is>
          <t>A67</t>
        </is>
      </c>
      <c r="B78" t="inlineStr">
        <is>
          <t>대조군</t>
        </is>
      </c>
      <c r="C78" s="2" t="inlineStr">
        <is>
          <t>Hand-E 정비 주기</t>
        </is>
      </c>
      <c r="D78" s="21" t="n">
        <v>2000000</v>
      </c>
      <c r="E78" t="inlineStr">
        <is>
          <t>사이클</t>
        </is>
      </c>
      <c r="F78" s="2" t="inlineStr">
        <is>
          <t>research/q7-hand-replacement.md 4절. https://blog.robotiq.com/knowledge/preventive-maintenance-on-the-hand-e-gripper (reference/hardware--robotiq-hande-maintenance.md)</t>
        </is>
      </c>
      <c r="G78" t="inlineStr">
        <is>
          <t>1차</t>
        </is>
      </c>
    </row>
    <row r="79">
      <c r="A79" t="inlineStr">
        <is>
          <t>A68</t>
        </is>
      </c>
      <c r="B79" t="inlineStr">
        <is>
          <t>대조군</t>
        </is>
      </c>
      <c r="C79" s="2" t="inlineStr">
        <is>
          <t>손 1개 연 사용 사이클 - 하한</t>
        </is>
      </c>
      <c r="D79" s="21" t="n">
        <v>830000</v>
      </c>
      <c r="E79" t="inlineStr">
        <is>
          <t>사이클/년</t>
        </is>
      </c>
      <c r="F79" s="2" t="inlineStr">
        <is>
          <t>research/q7-hand-replacement.md 5절 (두 손이 번갈아 쓰는 경우, 상한 가동 가정의 계산)</t>
        </is>
      </c>
      <c r="G79" t="inlineStr">
        <is>
          <t>추정</t>
        </is>
      </c>
    </row>
    <row r="80">
      <c r="A80" t="inlineStr">
        <is>
          <t>A69</t>
        </is>
      </c>
      <c r="B80" t="inlineStr">
        <is>
          <t>대조군</t>
        </is>
      </c>
      <c r="C80" s="2" t="inlineStr">
        <is>
          <t>손 1개 연 사용 사이클 - 상한</t>
        </is>
      </c>
      <c r="D80" s="21" t="n">
        <v>1650000</v>
      </c>
      <c r="E80" t="inlineStr">
        <is>
          <t>사이클/년</t>
        </is>
      </c>
      <c r="F80" s="2" t="inlineStr">
        <is>
          <t>research/q7-hand-replacement.md 5절 (한 손 전담)</t>
        </is>
      </c>
      <c r="G80" t="inlineStr">
        <is>
          <t>추정</t>
        </is>
      </c>
    </row>
    <row r="81">
      <c r="A81" t="inlineStr">
        <is>
          <t>A70</t>
        </is>
      </c>
      <c r="B81" t="inlineStr">
        <is>
          <t>대조군</t>
        </is>
      </c>
      <c r="C81" s="2" t="inlineStr">
        <is>
          <t>Hand-E 정비 1회 비용(키트·인건비)</t>
        </is>
      </c>
      <c r="D81" s="21" t="n"/>
      <c r="E81" t="inlineStr">
        <is>
          <t>원/회/개</t>
        </is>
      </c>
      <c r="F81" s="2" t="inlineStr">
        <is>
          <t>가격 미기재(Robotiq 문서에 전용 키트와 절차만 있음). 입력 셀을 비워 둠 - 견적으로 채울 것</t>
        </is>
      </c>
      <c r="G81" t="inlineStr">
        <is>
          <t>추정</t>
        </is>
      </c>
    </row>
    <row r="82">
      <c r="A82" s="15" t="inlineStr">
        <is>
          <t>7. 재무</t>
        </is>
      </c>
      <c r="B82" s="16" t="n"/>
      <c r="C82" s="16" t="n"/>
      <c r="D82" s="16" t="n"/>
      <c r="E82" s="16" t="n"/>
      <c r="F82" s="16" t="n"/>
      <c r="G82" s="16" t="n"/>
    </row>
    <row r="83">
      <c r="A83" t="inlineStr">
        <is>
          <t>A71</t>
        </is>
      </c>
      <c r="B83" t="inlineStr">
        <is>
          <t>재무</t>
        </is>
      </c>
      <c r="C83" s="2" t="inlineStr">
        <is>
          <t>할인율</t>
        </is>
      </c>
      <c r="D83" s="20" t="n">
        <v>0.08</v>
      </c>
      <c r="E83" t="inlineStr">
        <is>
          <t>%/년</t>
        </is>
      </c>
      <c r="F83" s="2" t="inlineStr">
        <is>
          <t>프로젝트 내 근거 소스 없음. 본 모델의 임의 기준값(고객 WACC로 교체)</t>
        </is>
      </c>
      <c r="G83" t="inlineStr">
        <is>
          <t>추정</t>
        </is>
      </c>
    </row>
    <row r="84">
      <c r="A84" t="inlineStr">
        <is>
          <t>A72</t>
        </is>
      </c>
      <c r="B84" t="inlineStr">
        <is>
          <t>재무</t>
        </is>
      </c>
      <c r="C84" s="2" t="inlineStr">
        <is>
          <t>분석 기간</t>
        </is>
      </c>
      <c r="D84" s="17" t="n">
        <v>5</v>
      </c>
      <c r="E84" t="inlineStr">
        <is>
          <t>년</t>
        </is>
      </c>
      <c r="F84" s="2" t="inlineStr">
        <is>
          <t>roi-model 스킬 (5년). NPV 수식은 5개 연도 현금흐름 고정</t>
        </is>
      </c>
      <c r="G84" t="inlineStr">
        <is>
          <t>추정</t>
        </is>
      </c>
    </row>
    <row r="85">
      <c r="A85" t="inlineStr">
        <is>
          <t>A73</t>
        </is>
      </c>
      <c r="B85" t="inlineStr">
        <is>
          <t>재무</t>
        </is>
      </c>
      <c r="C85" s="2" t="inlineStr">
        <is>
          <t>감가상각 기간</t>
        </is>
      </c>
      <c r="D85" s="17" t="n">
        <v>5</v>
      </c>
      <c r="E85" t="inlineStr">
        <is>
          <t>년</t>
        </is>
      </c>
      <c r="F85" s="2" t="inlineStr">
        <is>
          <t>case/analysis.md 7.4절</t>
        </is>
      </c>
      <c r="G85" t="inlineStr">
        <is>
          <t>추정</t>
        </is>
      </c>
    </row>
    <row r="86">
      <c r="A86" s="15" t="inlineStr">
        <is>
          <t>8. 손 단가 시나리오 (B8, 기본 계산에는 쓰이지 않고 민감도 시트 8절 비교에만 사용)</t>
        </is>
      </c>
      <c r="B86" s="16" t="n"/>
      <c r="C86" s="16" t="n"/>
      <c r="D86" s="16" t="n"/>
      <c r="E86" s="16" t="n"/>
      <c r="F86" s="16" t="n"/>
      <c r="G86" s="16" t="n"/>
    </row>
    <row r="87" ht="62" customHeight="1">
      <c r="A87" t="inlineStr">
        <is>
          <t>A74</t>
        </is>
      </c>
      <c r="B87" t="inlineStr">
        <is>
          <t>손 단가 시나리오</t>
        </is>
      </c>
      <c r="C87" s="2" t="inlineStr">
        <is>
          <t>다관절 손(20-DoF) 단가 - 대안 (RLWRLD 블로그 표기)</t>
        </is>
      </c>
      <c r="D87" s="21" t="n">
        <v>7500</v>
      </c>
      <c r="E87" t="inlineStr">
        <is>
          <t>USD/개</t>
        </is>
      </c>
      <c r="F87" s="2" t="inlineStr">
        <is>
          <t>research/q9-allhandsup.md 7절 1행, reference/hardware--allhandsup-blog-part2.md (RLWRLD 블로그 'approximately $7,500 per hand'). 제품 DB($23,000, D49)와 충돌하며 둘 다 공식 견적이 아니므로 추정. Tesollo 공식 견적(구성·수량·환율)으로 확정할 것. 확정 전 헤드라인 미반영</t>
        </is>
      </c>
      <c r="G87" t="inlineStr">
        <is>
          <t>추정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5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A1" s="1" t="inlineStr">
        <is>
          <t>B3 ROI 모델 - 계산 시트 (모든 셀이 가정 시트를 참조하는 수식)</t>
        </is>
      </c>
    </row>
    <row r="3">
      <c r="A3" s="3" t="inlineStr">
        <is>
          <t>A. 인건비 환산 (Q8 5절 식)</t>
        </is>
      </c>
    </row>
    <row r="4">
      <c r="A4" s="4" t="inlineStr">
        <is>
          <t>항목</t>
        </is>
      </c>
      <c r="B4" s="4" t="inlineStr">
        <is>
          <t>설명</t>
        </is>
      </c>
      <c r="C4" s="4" t="inlineStr">
        <is>
          <t>하한</t>
        </is>
      </c>
      <c r="D4" s="4" t="inlineStr">
        <is>
          <t>기본</t>
        </is>
      </c>
      <c r="E4" s="4" t="inlineStr">
        <is>
          <t>상한</t>
        </is>
      </c>
    </row>
    <row r="5">
      <c r="A5" t="inlineStr">
        <is>
          <t>통상시급 w (원/시간)</t>
        </is>
      </c>
      <c r="B5" t="inlineStr">
        <is>
          <t>가정 시트</t>
        </is>
      </c>
      <c r="C5" s="13">
        <f>'가정'!$D$19</f>
        <v/>
      </c>
      <c r="D5" s="13">
        <f>'가정'!$D$20</f>
        <v/>
      </c>
      <c r="E5" s="13">
        <f>'가정'!$D$21</f>
        <v/>
      </c>
    </row>
    <row r="6">
      <c r="A6" t="inlineStr">
        <is>
          <t>야간조 비율 p</t>
        </is>
      </c>
      <c r="B6" t="inlineStr">
        <is>
          <t>가정 시트</t>
        </is>
      </c>
      <c r="C6" s="25">
        <f>'가정'!$D$22</f>
        <v/>
      </c>
      <c r="D6" s="25">
        <f>'가정'!$D$23</f>
        <v/>
      </c>
      <c r="E6" s="25">
        <f>'가정'!$D$24</f>
        <v/>
      </c>
    </row>
    <row r="7">
      <c r="A7" t="inlineStr">
        <is>
          <t>월 연장근로 OT (시간)</t>
        </is>
      </c>
      <c r="B7" t="inlineStr">
        <is>
          <t>가정 시트</t>
        </is>
      </c>
      <c r="C7" s="12">
        <f>'가정'!$D$25</f>
        <v/>
      </c>
      <c r="D7" s="12">
        <f>'가정'!$D$26</f>
        <v/>
      </c>
      <c r="E7" s="12">
        <f>'가정'!$D$27</f>
        <v/>
      </c>
    </row>
    <row r="8">
      <c r="A8" t="inlineStr">
        <is>
          <t>사업주 간접률 (4대보험+퇴직)</t>
        </is>
      </c>
      <c r="B8" t="inlineStr">
        <is>
          <t>연금+건보+요양+실업+고안직능+산재+퇴직</t>
        </is>
      </c>
      <c r="C8" s="26">
        <f>'가정'!$D$32+'가정'!$D$33+'가정'!$D$34+'가정'!$D$35+'가정'!$D$36+'가정'!$D$39+'가정'!$D$42</f>
        <v/>
      </c>
      <c r="D8" s="26">
        <f>'가정'!$D$32+'가정'!$D$33+'가정'!$D$34+'가정'!$D$35+'가정'!$D$37+'가정'!$D$40+'가정'!$D$42</f>
        <v/>
      </c>
      <c r="E8" s="26">
        <f>'가정'!$D$32+'가정'!$D$33+'가정'!$D$34+'가정'!$D$35+'가정'!$D$38+'가정'!$D$41+'가정'!$D$42</f>
        <v/>
      </c>
    </row>
    <row r="9">
      <c r="A9" t="inlineStr">
        <is>
          <t>주간조 월 지급 (원)</t>
        </is>
      </c>
      <c r="B9" t="inlineStr">
        <is>
          <t>w x (209 + 1.5 x OT)</t>
        </is>
      </c>
      <c r="C9" s="13">
        <f>C5*('가정'!$D$28+'가정'!$D$30*C7)</f>
        <v/>
      </c>
      <c r="D9" s="13">
        <f>D5*('가정'!$D$28+'가정'!$D$30*D7)</f>
        <v/>
      </c>
      <c r="E9" s="13">
        <f>E5*('가정'!$D$28+'가정'!$D$30*E7)</f>
        <v/>
      </c>
    </row>
    <row r="10">
      <c r="A10" t="inlineStr">
        <is>
          <t>야간조 월 지급 (원)</t>
        </is>
      </c>
      <c r="B10" t="inlineStr">
        <is>
          <t>w x (209 + 0.5 x 173.3 + 2.0 x OT)</t>
        </is>
      </c>
      <c r="C10" s="13">
        <f>C5*('가정'!$D$28+'가정'!$D$31*'가정'!$D$29+('가정'!$D$30+'가정'!$D$31)*C7)</f>
        <v/>
      </c>
      <c r="D10" s="13">
        <f>D5*('가정'!$D$28+'가정'!$D$31*'가정'!$D$29+('가정'!$D$30+'가정'!$D$31)*D7)</f>
        <v/>
      </c>
      <c r="E10" s="13">
        <f>E5*('가정'!$D$28+'가정'!$D$31*'가정'!$D$29+('가정'!$D$30+'가정'!$D$31)*E7)</f>
        <v/>
      </c>
    </row>
    <row r="11">
      <c r="A11" t="inlineStr">
        <is>
          <t>2교대 평균 월 지급 (원)</t>
        </is>
      </c>
      <c r="B11" t="inlineStr">
        <is>
          <t>(1-p) x 주간 + p x 야간</t>
        </is>
      </c>
      <c r="C11" s="13">
        <f>(1-C6)*C9+C6*C10</f>
        <v/>
      </c>
      <c r="D11" s="13">
        <f>(1-D6)*D9+D6*D10</f>
        <v/>
      </c>
      <c r="E11" s="13">
        <f>(1-E6)*E9+E6*E10</f>
        <v/>
      </c>
    </row>
    <row r="12">
      <c r="A12" t="inlineStr">
        <is>
          <t>연 지급 (원)</t>
        </is>
      </c>
      <c r="B12" t="inlineStr">
        <is>
          <t>12 x 평균 월 지급</t>
        </is>
      </c>
      <c r="C12" s="13">
        <f>12*C11</f>
        <v/>
      </c>
      <c r="D12" s="13">
        <f>12*D11</f>
        <v/>
      </c>
      <c r="E12" s="13">
        <f>12*E11</f>
        <v/>
      </c>
    </row>
    <row r="13">
      <c r="A13" t="inlineStr">
        <is>
          <t>연 인건비/인 (원, 간접률 포함)</t>
        </is>
      </c>
      <c r="B13" t="inlineStr">
        <is>
          <t>연 지급 x (1+간접률). 2교대 평균, 1인</t>
        </is>
      </c>
      <c r="C13" s="27">
        <f>C12*(1+C8)</f>
        <v/>
      </c>
      <c r="D13" s="27">
        <f>D12*(1+D8)</f>
        <v/>
      </c>
      <c r="E13" s="27">
        <f>E12*(1+E8)</f>
        <v/>
      </c>
    </row>
    <row r="14">
      <c r="A14" t="inlineStr">
        <is>
          <t>선택된 인건비 시나리오의 연 인건비/인 (원)</t>
        </is>
      </c>
      <c r="B14" t="inlineStr">
        <is>
          <t>가정 시트 선택값</t>
        </is>
      </c>
      <c r="C14" s="13">
        <f>INDEX($C$13:$E$13,'가정'!$D$6)</f>
        <v/>
      </c>
    </row>
    <row r="16">
      <c r="A16" s="3" t="inlineStr">
        <is>
          <t>B. 투자비</t>
        </is>
      </c>
    </row>
    <row r="17">
      <c r="A17" s="4" t="inlineStr">
        <is>
          <t>항목</t>
        </is>
      </c>
      <c r="B17" s="4" t="inlineStr">
        <is>
          <t>설명</t>
        </is>
      </c>
      <c r="C17" s="4" t="inlineStr">
        <is>
          <t>값</t>
        </is>
      </c>
    </row>
    <row r="18">
      <c r="A18" t="inlineStr">
        <is>
          <t>팔 소계 (USD)</t>
        </is>
      </c>
      <c r="B18" t="inlineStr">
        <is>
          <t>단가 x 대수</t>
        </is>
      </c>
      <c r="C18" s="13">
        <f>'가정'!$D$47*'가정'!$D$48</f>
        <v/>
      </c>
    </row>
    <row r="19">
      <c r="A19" t="inlineStr">
        <is>
          <t>손 소계 (USD)</t>
        </is>
      </c>
      <c r="B19" t="inlineStr">
        <is>
          <t>단가 x 개수</t>
        </is>
      </c>
      <c r="C19" s="13">
        <f>'가정'!$D$49*'가정'!$D$50</f>
        <v/>
      </c>
    </row>
    <row r="20">
      <c r="A20" t="inlineStr">
        <is>
          <t>촉각 센서 소계 (USD)</t>
        </is>
      </c>
      <c r="C20" s="13">
        <f>'가정'!$D$51*'가정'!$D$52</f>
        <v/>
      </c>
    </row>
    <row r="21">
      <c r="A21" t="inlineStr">
        <is>
          <t>카메라 소계 (USD)</t>
        </is>
      </c>
      <c r="C21" s="13">
        <f>'가정'!$D$53*'가정'!$D$54</f>
        <v/>
      </c>
    </row>
    <row r="22">
      <c r="A22" t="inlineStr">
        <is>
          <t>손·팔 외 하드웨어 (USD)</t>
        </is>
      </c>
      <c r="B22" t="inlineStr">
        <is>
          <t>촉각+카메라+지그+PC</t>
        </is>
      </c>
      <c r="C22" s="13">
        <f>C20+C21+'가정'!$D$55+'가정'!$D$56</f>
        <v/>
      </c>
    </row>
    <row r="23">
      <c r="A23" t="inlineStr">
        <is>
          <t>하드웨어 합계 (USD)</t>
        </is>
      </c>
      <c r="B23" t="inlineStr">
        <is>
          <t>case/analysis.md 7.3절 141,280</t>
        </is>
      </c>
      <c r="C23" s="13">
        <f>C18+C19+C22</f>
        <v/>
      </c>
    </row>
    <row r="24">
      <c r="A24" t="inlineStr">
        <is>
          <t>손 제외 하드웨어 (USD)</t>
        </is>
      </c>
      <c r="B24" t="inlineStr">
        <is>
          <t>Q7 4절 95,280 (팔·시스템 유지보수 기준)</t>
        </is>
      </c>
      <c r="C24" s="13">
        <f>C23-C19</f>
        <v/>
      </c>
    </row>
    <row r="25">
      <c r="A25" t="inlineStr">
        <is>
          <t>시스템 통합비 (USD)</t>
        </is>
      </c>
      <c r="B25" t="inlineStr">
        <is>
          <t>하드웨어 x 통합비율</t>
        </is>
      </c>
      <c r="C25" s="13">
        <f>C23*'가정'!$D$57</f>
        <v/>
      </c>
    </row>
    <row r="26">
      <c r="A26" t="inlineStr">
        <is>
          <t>총 투자비 (USD)</t>
        </is>
      </c>
      <c r="B26" t="inlineStr">
        <is>
          <t>하드웨어 + 통합비 (case/analysis.md 7.3절 282,560)</t>
        </is>
      </c>
      <c r="C26" s="13">
        <f>C23+C25</f>
        <v/>
      </c>
    </row>
    <row r="27">
      <c r="A27" t="inlineStr">
        <is>
          <t>총 투자비 (원)</t>
        </is>
      </c>
      <c r="B27" t="inlineStr">
        <is>
          <t>USD x 환율 + 초기 데이터·학습비 (7.5절 395,584,000)</t>
        </is>
      </c>
      <c r="C27" s="27">
        <f>C26*'가정'!$D$46+'가정'!$D$58</f>
        <v/>
      </c>
    </row>
    <row r="28">
      <c r="A28" t="inlineStr">
        <is>
          <t>5년 회수에 필요한 연 순절감 (원)</t>
        </is>
      </c>
      <c r="B28" t="inlineStr">
        <is>
          <t>총 투자비 / 5 (7.5절 약 7,912만)</t>
        </is>
      </c>
      <c r="C28" s="13">
        <f>C27/'가정'!$D$84</f>
        <v/>
      </c>
    </row>
    <row r="30">
      <c r="A30" s="3" t="inlineStr">
        <is>
          <t>C. 그리퍼 대조군 정비 (참고, 합계 미포함 - 가정 6절)</t>
        </is>
      </c>
    </row>
    <row r="31">
      <c r="A31" s="4" t="inlineStr">
        <is>
          <t>항목</t>
        </is>
      </c>
      <c r="B31" s="4" t="inlineStr">
        <is>
          <t>설명</t>
        </is>
      </c>
      <c r="C31" s="4" t="inlineStr">
        <is>
          <t>값</t>
        </is>
      </c>
    </row>
    <row r="32">
      <c r="A32" t="inlineStr">
        <is>
          <t>정비 주기 - 빠른 경우 (년)</t>
        </is>
      </c>
      <c r="B32" t="inlineStr">
        <is>
          <t>정비 사이클 / 연 사용 사이클 상한 (Q7 4절 약 1.2년)</t>
        </is>
      </c>
      <c r="C32" s="25">
        <f>'가정'!$D$78/'가정'!$D$80</f>
        <v/>
      </c>
    </row>
    <row r="33">
      <c r="A33" t="inlineStr">
        <is>
          <t>정비 주기 - 느린 경우 (년)</t>
        </is>
      </c>
      <c r="B33" t="inlineStr">
        <is>
          <t>정비 사이클 / 연 사용 사이클 하한 (약 2.4년)</t>
        </is>
      </c>
      <c r="C33" s="25">
        <f>'가정'!$D$78/'가정'!$D$79</f>
        <v/>
      </c>
    </row>
    <row r="34">
      <c r="A34" t="inlineStr">
        <is>
          <t>연 정비비 상한 (원/년, 전체 그리퍼)</t>
        </is>
      </c>
      <c r="B34" t="inlineStr">
        <is>
          <t>정비 1회 비용 입력 전에는 '가격 미입력'</t>
        </is>
      </c>
      <c r="C34" s="13">
        <f>IF(ISNUMBER('가정'!$D$81),'가정'!$D$77*'가정'!$D$81/C32,"가격 미입력")</f>
        <v/>
      </c>
    </row>
    <row r="35">
      <c r="A35" t="inlineStr">
        <is>
          <t>연 정비비 하한 (원/년, 전체 그리퍼)</t>
        </is>
      </c>
      <c r="C35" s="13">
        <f>IF(ISNUMBER('가정'!$D$81),'가정'!$D$77*'가정'!$D$81/C33,"가격 미입력")</f>
        <v/>
      </c>
    </row>
    <row r="36">
      <c r="A36" t="inlineStr">
        <is>
          <t>그리퍼 구성 하드웨어 (USD, F/T 센서 제외)</t>
        </is>
      </c>
      <c r="B36" t="inlineStr">
        <is>
          <t>그리퍼 + 팔 + 카메라 + 지그 + PC (case/analysis.md 7.3절 105,700)</t>
        </is>
      </c>
      <c r="C36" s="13">
        <f>'가정'!$D$76*'가정'!$D$77+C18+C21+'가정'!$D$55+'가정'!$D$56</f>
        <v/>
      </c>
    </row>
    <row r="38">
      <c r="A38" s="3" t="inlineStr">
        <is>
          <t>D. 시나리오별 계산 (열 = 시나리오, 행 = 같은 수식). 파란 숫자는 시나리오 고유 입력</t>
        </is>
      </c>
    </row>
    <row r="39" ht="48" customHeight="1">
      <c r="A39" s="28" t="inlineStr">
        <is>
          <t>행</t>
        </is>
      </c>
      <c r="B39" s="28" t="inlineStr">
        <is>
          <t>설명</t>
        </is>
      </c>
      <c r="C39" s="29" t="inlineStr">
        <is>
          <t>기본 (가정 시트 선택값)</t>
        </is>
      </c>
      <c r="D39" s="29" t="inlineStr">
        <is>
          <t>인건비 하한</t>
        </is>
      </c>
      <c r="E39" s="29" t="inlineStr">
        <is>
          <t>인건비 상한</t>
        </is>
      </c>
      <c r="F39" s="29" t="inlineStr">
        <is>
          <t>손 교체 낙관 (f1, 20%)</t>
        </is>
      </c>
      <c r="G39" s="29" t="inlineStr">
        <is>
          <t>손 교체 보수 (f2, 100%)</t>
        </is>
      </c>
      <c r="H39" s="29" t="inlineStr">
        <is>
          <t>손 교체 없음 (참고)</t>
        </is>
      </c>
      <c r="I39" s="29" t="inlineStr">
        <is>
          <t>3교대 (f x1.5)</t>
        </is>
      </c>
      <c r="J39" s="29" t="inlineStr">
        <is>
          <t>속도비 0.5 (PoC 게이트)</t>
        </is>
      </c>
      <c r="K39" s="29" t="inlineStr">
        <is>
          <t>속도비 0.25 (시제품)</t>
        </is>
      </c>
      <c r="L39" s="29" t="inlineStr">
        <is>
          <t>[Q7 재현] N=1 손 전체</t>
        </is>
      </c>
      <c r="M39" s="29" t="inlineStr">
        <is>
          <t>[Q7 재현] N=2 손 전체</t>
        </is>
      </c>
      <c r="N39" s="29" t="inlineStr">
        <is>
          <t>[Q7 재현] 교체비 0</t>
        </is>
      </c>
      <c r="O39" s="29" t="inlineStr">
        <is>
          <t>[Q7 재현] N=2 모듈 20%</t>
        </is>
      </c>
      <c r="P39" s="29" t="inlineStr">
        <is>
          <t>[Q7 재현] N=4 모듈 20%</t>
        </is>
      </c>
      <c r="Q39" s="29" t="inlineStr">
        <is>
          <t>[Q7 재현] 3교대 N=6 모듈 20%</t>
        </is>
      </c>
      <c r="R39" s="29" t="inlineStr">
        <is>
          <t>[7.5절 재현] 3교대 교체비 0</t>
        </is>
      </c>
      <c r="S39" s="29" t="inlineStr">
        <is>
          <t>[7.5절 재현] 속도비 0.5 교체비 0</t>
        </is>
      </c>
    </row>
    <row r="40">
      <c r="A40" t="inlineStr">
        <is>
          <t>인건비 시나리오 번호</t>
        </is>
      </c>
      <c r="B40" t="inlineStr">
        <is>
          <t>1 하한 / 2 기본 / 3 상한</t>
        </is>
      </c>
      <c r="C40" s="30">
        <f>'가정'!$D$6</f>
        <v/>
      </c>
      <c r="D40" s="17" t="n">
        <v>1</v>
      </c>
      <c r="E40" s="17" t="n">
        <v>3</v>
      </c>
      <c r="F40" s="30">
        <f>'가정'!$D$6</f>
        <v/>
      </c>
      <c r="G40" s="30">
        <f>'가정'!$D$6</f>
        <v/>
      </c>
      <c r="H40" s="30">
        <f>'가정'!$D$6</f>
        <v/>
      </c>
      <c r="I40" s="30">
        <f>'가정'!$D$6</f>
        <v/>
      </c>
      <c r="J40" s="30">
        <f>'가정'!$D$6</f>
        <v/>
      </c>
      <c r="K40" s="30">
        <f>'가정'!$D$6</f>
        <v/>
      </c>
      <c r="L40" s="17" t="n">
        <v>2</v>
      </c>
      <c r="M40" s="17" t="n">
        <v>2</v>
      </c>
      <c r="N40" s="17" t="n">
        <v>2</v>
      </c>
      <c r="O40" s="17" t="n">
        <v>2</v>
      </c>
      <c r="P40" s="17" t="n">
        <v>2</v>
      </c>
      <c r="Q40" s="17" t="n">
        <v>2</v>
      </c>
      <c r="R40" s="17" t="n">
        <v>2</v>
      </c>
      <c r="S40" s="17" t="n">
        <v>2</v>
      </c>
    </row>
    <row r="41">
      <c r="A41" t="inlineStr">
        <is>
          <t>속도비</t>
        </is>
      </c>
      <c r="C41" s="25">
        <f>'가정'!$D$14</f>
        <v/>
      </c>
      <c r="D41" s="25">
        <f>'가정'!$D$14</f>
        <v/>
      </c>
      <c r="E41" s="25">
        <f>'가정'!$D$14</f>
        <v/>
      </c>
      <c r="F41" s="25">
        <f>'가정'!$D$14</f>
        <v/>
      </c>
      <c r="G41" s="25">
        <f>'가정'!$D$14</f>
        <v/>
      </c>
      <c r="H41" s="25">
        <f>'가정'!$D$14</f>
        <v/>
      </c>
      <c r="I41" s="25">
        <f>'가정'!$D$14</f>
        <v/>
      </c>
      <c r="J41" s="19" t="n">
        <v>0.5</v>
      </c>
      <c r="K41" s="19" t="n">
        <v>0.25</v>
      </c>
      <c r="L41" s="19" t="n">
        <v>1</v>
      </c>
      <c r="M41" s="19" t="n">
        <v>1</v>
      </c>
      <c r="N41" s="19" t="n">
        <v>1</v>
      </c>
      <c r="O41" s="19" t="n">
        <v>1</v>
      </c>
      <c r="P41" s="19" t="n">
        <v>1</v>
      </c>
      <c r="Q41" s="19" t="n">
        <v>1</v>
      </c>
      <c r="R41" s="19" t="n">
        <v>1</v>
      </c>
      <c r="S41" s="19" t="n">
        <v>0.5</v>
      </c>
    </row>
    <row r="42">
      <c r="A42" t="inlineStr">
        <is>
          <t>교대 수</t>
        </is>
      </c>
      <c r="C42" s="30">
        <f>'가정'!$D$9</f>
        <v/>
      </c>
      <c r="D42" s="30">
        <f>'가정'!$D$9</f>
        <v/>
      </c>
      <c r="E42" s="30">
        <f>'가정'!$D$9</f>
        <v/>
      </c>
      <c r="F42" s="30">
        <f>'가정'!$D$9</f>
        <v/>
      </c>
      <c r="G42" s="30">
        <f>'가정'!$D$9</f>
        <v/>
      </c>
      <c r="H42" s="30">
        <f>'가정'!$D$9</f>
        <v/>
      </c>
      <c r="I42" s="17" t="n">
        <v>3</v>
      </c>
      <c r="J42" s="30">
        <f>'가정'!$D$9</f>
        <v/>
      </c>
      <c r="K42" s="30">
        <f>'가정'!$D$9</f>
        <v/>
      </c>
      <c r="L42" s="17" t="n">
        <v>2</v>
      </c>
      <c r="M42" s="17" t="n">
        <v>2</v>
      </c>
      <c r="N42" s="17" t="n">
        <v>2</v>
      </c>
      <c r="O42" s="17" t="n">
        <v>2</v>
      </c>
      <c r="P42" s="17" t="n">
        <v>2</v>
      </c>
      <c r="Q42" s="17" t="n">
        <v>3</v>
      </c>
      <c r="R42" s="17" t="n">
        <v>3</v>
      </c>
      <c r="S42" s="17" t="n">
        <v>2</v>
      </c>
    </row>
    <row r="43">
      <c r="A43" t="inlineStr">
        <is>
          <t>f: 손 1개당 연 교체 횟수 (2교대 기준)</t>
        </is>
      </c>
      <c r="B43" t="inlineStr">
        <is>
          <t>Q7</t>
        </is>
      </c>
      <c r="C43" s="12">
        <f>CHOOSE('가정'!$D$7,'가정'!$D$64,'가정'!$D$66,'가정'!$D$68,'가정'!$D$70)</f>
        <v/>
      </c>
      <c r="D43" s="12">
        <f>CHOOSE('가정'!$D$7,'가정'!$D$64,'가정'!$D$66,'가정'!$D$68,'가정'!$D$70)</f>
        <v/>
      </c>
      <c r="E43" s="12">
        <f>CHOOSE('가정'!$D$7,'가정'!$D$64,'가정'!$D$66,'가정'!$D$68,'가정'!$D$70)</f>
        <v/>
      </c>
      <c r="F43" s="12">
        <f>'가정'!$D$64</f>
        <v/>
      </c>
      <c r="G43" s="12">
        <f>'가정'!$D$68</f>
        <v/>
      </c>
      <c r="H43" s="12">
        <f>'가정'!$D$70</f>
        <v/>
      </c>
      <c r="I43" s="12">
        <f>CHOOSE('가정'!$D$7,'가정'!$D$64,'가정'!$D$66,'가정'!$D$68,'가정'!$D$70)</f>
        <v/>
      </c>
      <c r="J43" s="12">
        <f>CHOOSE('가정'!$D$7,'가정'!$D$64,'가정'!$D$66,'가정'!$D$68,'가정'!$D$70)</f>
        <v/>
      </c>
      <c r="K43" s="12">
        <f>CHOOSE('가정'!$D$7,'가정'!$D$64,'가정'!$D$66,'가정'!$D$68,'가정'!$D$70)</f>
        <v/>
      </c>
      <c r="L43" s="18" t="n">
        <v>0.5</v>
      </c>
      <c r="M43" s="18" t="n">
        <v>1</v>
      </c>
      <c r="N43" s="18" t="n">
        <v>0</v>
      </c>
      <c r="O43" s="18" t="n">
        <v>1</v>
      </c>
      <c r="P43" s="18" t="n">
        <v>2</v>
      </c>
      <c r="Q43" s="18" t="n">
        <v>2</v>
      </c>
      <c r="R43" s="18" t="n">
        <v>0</v>
      </c>
      <c r="S43" s="18" t="n">
        <v>0</v>
      </c>
    </row>
    <row r="44">
      <c r="A44" t="inlineStr">
        <is>
          <t>교체당 비용 비율 (손 가격 대비)</t>
        </is>
      </c>
      <c r="B44" t="inlineStr">
        <is>
          <t>Q7</t>
        </is>
      </c>
      <c r="C44" s="31">
        <f>CHOOSE('가정'!$D$7,'가정'!$D$65,'가정'!$D$67,'가정'!$D$69,'가정'!$D$71)</f>
        <v/>
      </c>
      <c r="D44" s="31">
        <f>CHOOSE('가정'!$D$7,'가정'!$D$65,'가정'!$D$67,'가정'!$D$69,'가정'!$D$71)</f>
        <v/>
      </c>
      <c r="E44" s="31">
        <f>CHOOSE('가정'!$D$7,'가정'!$D$65,'가정'!$D$67,'가정'!$D$69,'가정'!$D$71)</f>
        <v/>
      </c>
      <c r="F44" s="31">
        <f>'가정'!$D$65</f>
        <v/>
      </c>
      <c r="G44" s="31">
        <f>'가정'!$D$69</f>
        <v/>
      </c>
      <c r="H44" s="31">
        <f>'가정'!$D$71</f>
        <v/>
      </c>
      <c r="I44" s="31">
        <f>CHOOSE('가정'!$D$7,'가정'!$D$65,'가정'!$D$67,'가정'!$D$69,'가정'!$D$71)</f>
        <v/>
      </c>
      <c r="J44" s="31">
        <f>CHOOSE('가정'!$D$7,'가정'!$D$65,'가정'!$D$67,'가정'!$D$69,'가정'!$D$71)</f>
        <v/>
      </c>
      <c r="K44" s="31">
        <f>CHOOSE('가정'!$D$7,'가정'!$D$65,'가정'!$D$67,'가정'!$D$69,'가정'!$D$71)</f>
        <v/>
      </c>
      <c r="L44" s="20" t="n">
        <v>1</v>
      </c>
      <c r="M44" s="20" t="n">
        <v>1</v>
      </c>
      <c r="N44" s="20" t="n">
        <v>0</v>
      </c>
      <c r="O44" s="20" t="n">
        <v>0.2</v>
      </c>
      <c r="P44" s="20" t="n">
        <v>0.2</v>
      </c>
      <c r="Q44" s="20" t="n">
        <v>0.2</v>
      </c>
      <c r="R44" s="20" t="n">
        <v>0</v>
      </c>
      <c r="S44" s="20" t="n">
        <v>0</v>
      </c>
    </row>
    <row r="45">
      <c r="A45" t="inlineStr">
        <is>
          <t>[선택] 연 인건비/인 직접 입력 (원)</t>
        </is>
      </c>
      <c r="B45" t="inlineStr">
        <is>
          <t>비우면 인건비 시나리오로 계산. 구 가정 재현용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>
        <f>'가정'!$D$43</f>
        <v/>
      </c>
      <c r="M45" s="13">
        <f>'가정'!$D$43</f>
        <v/>
      </c>
      <c r="N45" s="13">
        <f>'가정'!$D$43</f>
        <v/>
      </c>
      <c r="O45" s="13">
        <f>'가정'!$D$43</f>
        <v/>
      </c>
      <c r="P45" s="13">
        <f>'가정'!$D$43</f>
        <v/>
      </c>
      <c r="Q45" s="13">
        <f>'가정'!$D$43</f>
        <v/>
      </c>
      <c r="R45" s="13">
        <f>'가정'!$D$43</f>
        <v/>
      </c>
      <c r="S45" s="13">
        <f>'가정'!$D$43</f>
        <v/>
      </c>
    </row>
    <row r="46">
      <c r="A46" t="inlineStr">
        <is>
          <t>[선택] 연 유지보수비 직접 입력 (원)</t>
        </is>
      </c>
      <c r="B46" t="inlineStr">
        <is>
          <t>비우면 손 제외 하드웨어 x 유지보수율. 구 가정 재현용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21">
        <f>C23*'가정'!$D$44*'가정'!$D$46</f>
        <v/>
      </c>
      <c r="M46" s="21">
        <f>C23*'가정'!$D$44*'가정'!$D$46</f>
        <v/>
      </c>
      <c r="N46" s="21">
        <f>C23*'가정'!$D$44*'가정'!$D$46</f>
        <v/>
      </c>
      <c r="O46" s="21">
        <f>C23*'가정'!$D$44*'가정'!$D$46</f>
        <v/>
      </c>
      <c r="P46" s="21">
        <f>C23*'가정'!$D$44*'가정'!$D$46</f>
        <v/>
      </c>
      <c r="Q46" s="21">
        <f>C23*'가정'!$D$44*'가정'!$D$46</f>
        <v/>
      </c>
      <c r="R46" s="21">
        <f>C23*'가정'!$D$44*'가정'!$D$46</f>
        <v/>
      </c>
      <c r="S46" s="21">
        <f>C23*'가정'!$D$44*'가정'!$D$46</f>
        <v/>
      </c>
    </row>
    <row r="47">
      <c r="A47" t="inlineStr">
        <is>
          <t>연 인건비/인 (원)</t>
        </is>
      </c>
      <c r="C47" s="13">
        <f>IF(ISNUMBER(C45),C45,INDEX($C$13:$E$13,C40))</f>
        <v/>
      </c>
      <c r="D47" s="13">
        <f>IF(ISNUMBER(D45),D45,INDEX($C$13:$E$13,D40))</f>
        <v/>
      </c>
      <c r="E47" s="13">
        <f>IF(ISNUMBER(E45),E45,INDEX($C$13:$E$13,E40))</f>
        <v/>
      </c>
      <c r="F47" s="13">
        <f>IF(ISNUMBER(F45),F45,INDEX($C$13:$E$13,F40))</f>
        <v/>
      </c>
      <c r="G47" s="13">
        <f>IF(ISNUMBER(G45),G45,INDEX($C$13:$E$13,G40))</f>
        <v/>
      </c>
      <c r="H47" s="13">
        <f>IF(ISNUMBER(H45),H45,INDEX($C$13:$E$13,H40))</f>
        <v/>
      </c>
      <c r="I47" s="13">
        <f>IF(ISNUMBER(I45),I45,INDEX($C$13:$E$13,I40))</f>
        <v/>
      </c>
      <c r="J47" s="13">
        <f>IF(ISNUMBER(J45),J45,INDEX($C$13:$E$13,J40))</f>
        <v/>
      </c>
      <c r="K47" s="13">
        <f>IF(ISNUMBER(K45),K45,INDEX($C$13:$E$13,K40))</f>
        <v/>
      </c>
      <c r="L47" s="13">
        <f>IF(ISNUMBER(L45),L45,INDEX($C$13:$E$13,L40))</f>
        <v/>
      </c>
      <c r="M47" s="13">
        <f>IF(ISNUMBER(M45),M45,INDEX($C$13:$E$13,M40))</f>
        <v/>
      </c>
      <c r="N47" s="13">
        <f>IF(ISNUMBER(N45),N45,INDEX($C$13:$E$13,N40))</f>
        <v/>
      </c>
      <c r="O47" s="13">
        <f>IF(ISNUMBER(O45),O45,INDEX($C$13:$E$13,O40))</f>
        <v/>
      </c>
      <c r="P47" s="13">
        <f>IF(ISNUMBER(P45),P45,INDEX($C$13:$E$13,P40))</f>
        <v/>
      </c>
      <c r="Q47" s="13">
        <f>IF(ISNUMBER(Q45),Q45,INDEX($C$13:$E$13,Q40))</f>
        <v/>
      </c>
      <c r="R47" s="13">
        <f>IF(ISNUMBER(R45),R45,INDEX($C$13:$E$13,R40))</f>
        <v/>
      </c>
      <c r="S47" s="13">
        <f>IF(ISNUMBER(S45),S45,INDEX($C$13:$E$13,S40))</f>
        <v/>
      </c>
    </row>
    <row r="48">
      <c r="A48" t="inlineStr">
        <is>
          <t>대체 인원 (명)</t>
        </is>
      </c>
      <c r="B48" t="inlineStr">
        <is>
          <t>대체 대상 인원 x 속도비 x 성공률 x 가동률 x 교대 수</t>
        </is>
      </c>
      <c r="C48" s="32">
        <f>'가정'!$D$12*C41*'가정'!$D$15*'가정'!$D$16*C42</f>
        <v/>
      </c>
      <c r="D48" s="32">
        <f>'가정'!$D$12*D41*'가정'!$D$15*'가정'!$D$16*D42</f>
        <v/>
      </c>
      <c r="E48" s="32">
        <f>'가정'!$D$12*E41*'가정'!$D$15*'가정'!$D$16*E42</f>
        <v/>
      </c>
      <c r="F48" s="32">
        <f>'가정'!$D$12*F41*'가정'!$D$15*'가정'!$D$16*F42</f>
        <v/>
      </c>
      <c r="G48" s="32">
        <f>'가정'!$D$12*G41*'가정'!$D$15*'가정'!$D$16*G42</f>
        <v/>
      </c>
      <c r="H48" s="32">
        <f>'가정'!$D$12*H41*'가정'!$D$15*'가정'!$D$16*H42</f>
        <v/>
      </c>
      <c r="I48" s="32">
        <f>'가정'!$D$12*I41*'가정'!$D$15*'가정'!$D$16*I42</f>
        <v/>
      </c>
      <c r="J48" s="32">
        <f>'가정'!$D$12*J41*'가정'!$D$15*'가정'!$D$16*J42</f>
        <v/>
      </c>
      <c r="K48" s="32">
        <f>'가정'!$D$12*K41*'가정'!$D$15*'가정'!$D$16*K42</f>
        <v/>
      </c>
      <c r="L48" s="32">
        <f>'가정'!$D$12*L41*'가정'!$D$15*'가정'!$D$16*L42</f>
        <v/>
      </c>
      <c r="M48" s="32">
        <f>'가정'!$D$12*M41*'가정'!$D$15*'가정'!$D$16*M42</f>
        <v/>
      </c>
      <c r="N48" s="32">
        <f>'가정'!$D$12*N41*'가정'!$D$15*'가정'!$D$16*N42</f>
        <v/>
      </c>
      <c r="O48" s="32">
        <f>'가정'!$D$12*O41*'가정'!$D$15*'가정'!$D$16*O42</f>
        <v/>
      </c>
      <c r="P48" s="32">
        <f>'가정'!$D$12*P41*'가정'!$D$15*'가정'!$D$16*P42</f>
        <v/>
      </c>
      <c r="Q48" s="32">
        <f>'가정'!$D$12*Q41*'가정'!$D$15*'가정'!$D$16*Q42</f>
        <v/>
      </c>
      <c r="R48" s="32">
        <f>'가정'!$D$12*R41*'가정'!$D$15*'가정'!$D$16*R42</f>
        <v/>
      </c>
      <c r="S48" s="32">
        <f>'가정'!$D$12*S41*'가정'!$D$15*'가정'!$D$16*S42</f>
        <v/>
      </c>
    </row>
    <row r="49">
      <c r="A49" t="inlineStr">
        <is>
          <t>연간 절감 인건비 (원)</t>
        </is>
      </c>
      <c r="B49" t="inlineStr">
        <is>
          <t>대체 인원 x 연 인건비/인</t>
        </is>
      </c>
      <c r="C49" s="13">
        <f>C48*C47</f>
        <v/>
      </c>
      <c r="D49" s="13">
        <f>D48*D47</f>
        <v/>
      </c>
      <c r="E49" s="13">
        <f>E48*E47</f>
        <v/>
      </c>
      <c r="F49" s="13">
        <f>F48*F47</f>
        <v/>
      </c>
      <c r="G49" s="13">
        <f>G48*G47</f>
        <v/>
      </c>
      <c r="H49" s="13">
        <f>H48*H47</f>
        <v/>
      </c>
      <c r="I49" s="13">
        <f>I48*I47</f>
        <v/>
      </c>
      <c r="J49" s="13">
        <f>J48*J47</f>
        <v/>
      </c>
      <c r="K49" s="13">
        <f>K48*K47</f>
        <v/>
      </c>
      <c r="L49" s="13">
        <f>L48*L47</f>
        <v/>
      </c>
      <c r="M49" s="13">
        <f>M48*M47</f>
        <v/>
      </c>
      <c r="N49" s="13">
        <f>N48*N47</f>
        <v/>
      </c>
      <c r="O49" s="13">
        <f>O48*O47</f>
        <v/>
      </c>
      <c r="P49" s="13">
        <f>P48*P47</f>
        <v/>
      </c>
      <c r="Q49" s="13">
        <f>Q48*Q47</f>
        <v/>
      </c>
      <c r="R49" s="13">
        <f>R48*R47</f>
        <v/>
      </c>
      <c r="S49" s="13">
        <f>S48*S47</f>
        <v/>
      </c>
    </row>
    <row r="50">
      <c r="A50" t="inlineStr">
        <is>
          <t>팔·시스템 유지보수비 (원/년)</t>
        </is>
      </c>
      <c r="B50" t="inlineStr">
        <is>
          <t>손 제외 하드웨어 x 유지보수율 x 환율</t>
        </is>
      </c>
      <c r="C50" s="13">
        <f>IF(ISNUMBER(C46),C46,$C$24*'가정'!$D$60*'가정'!$D$46)</f>
        <v/>
      </c>
      <c r="D50" s="13">
        <f>IF(ISNUMBER(D46),D46,$C$24*'가정'!$D$60*'가정'!$D$46)</f>
        <v/>
      </c>
      <c r="E50" s="13">
        <f>IF(ISNUMBER(E46),E46,$C$24*'가정'!$D$60*'가정'!$D$46)</f>
        <v/>
      </c>
      <c r="F50" s="13">
        <f>IF(ISNUMBER(F46),F46,$C$24*'가정'!$D$60*'가정'!$D$46)</f>
        <v/>
      </c>
      <c r="G50" s="13">
        <f>IF(ISNUMBER(G46),G46,$C$24*'가정'!$D$60*'가정'!$D$46)</f>
        <v/>
      </c>
      <c r="H50" s="13">
        <f>IF(ISNUMBER(H46),H46,$C$24*'가정'!$D$60*'가정'!$D$46)</f>
        <v/>
      </c>
      <c r="I50" s="13">
        <f>IF(ISNUMBER(I46),I46,$C$24*'가정'!$D$60*'가정'!$D$46)</f>
        <v/>
      </c>
      <c r="J50" s="13">
        <f>IF(ISNUMBER(J46),J46,$C$24*'가정'!$D$60*'가정'!$D$46)</f>
        <v/>
      </c>
      <c r="K50" s="13">
        <f>IF(ISNUMBER(K46),K46,$C$24*'가정'!$D$60*'가정'!$D$46)</f>
        <v/>
      </c>
      <c r="L50" s="13">
        <f>IF(ISNUMBER(L46),L46,$C$24*'가정'!$D$60*'가정'!$D$46)</f>
        <v/>
      </c>
      <c r="M50" s="13">
        <f>IF(ISNUMBER(M46),M46,$C$24*'가정'!$D$60*'가정'!$D$46)</f>
        <v/>
      </c>
      <c r="N50" s="13">
        <f>IF(ISNUMBER(N46),N46,$C$24*'가정'!$D$60*'가정'!$D$46)</f>
        <v/>
      </c>
      <c r="O50" s="13">
        <f>IF(ISNUMBER(O46),O46,$C$24*'가정'!$D$60*'가정'!$D$46)</f>
        <v/>
      </c>
      <c r="P50" s="13">
        <f>IF(ISNUMBER(P46),P46,$C$24*'가정'!$D$60*'가정'!$D$46)</f>
        <v/>
      </c>
      <c r="Q50" s="13">
        <f>IF(ISNUMBER(Q46),Q46,$C$24*'가정'!$D$60*'가정'!$D$46)</f>
        <v/>
      </c>
      <c r="R50" s="13">
        <f>IF(ISNUMBER(R46),R46,$C$24*'가정'!$D$60*'가정'!$D$46)</f>
        <v/>
      </c>
      <c r="S50" s="13">
        <f>IF(ISNUMBER(S46),S46,$C$24*'가정'!$D$60*'가정'!$D$46)</f>
        <v/>
      </c>
    </row>
    <row r="51">
      <c r="A51" t="inlineStr">
        <is>
          <t>셀 합계 연 교체 횟수 N</t>
        </is>
      </c>
      <c r="B51" t="inlineStr">
        <is>
          <t>손 개수 x f x (교대 수/2)</t>
        </is>
      </c>
      <c r="C51" s="12">
        <f>'가정'!$D$50*C43*C42/'가정'!$D$63</f>
        <v/>
      </c>
      <c r="D51" s="12">
        <f>'가정'!$D$50*D43*D42/'가정'!$D$63</f>
        <v/>
      </c>
      <c r="E51" s="12">
        <f>'가정'!$D$50*E43*E42/'가정'!$D$63</f>
        <v/>
      </c>
      <c r="F51" s="12">
        <f>'가정'!$D$50*F43*F42/'가정'!$D$63</f>
        <v/>
      </c>
      <c r="G51" s="12">
        <f>'가정'!$D$50*G43*G42/'가정'!$D$63</f>
        <v/>
      </c>
      <c r="H51" s="12">
        <f>'가정'!$D$50*H43*H42/'가정'!$D$63</f>
        <v/>
      </c>
      <c r="I51" s="12">
        <f>'가정'!$D$50*I43*I42/'가정'!$D$63</f>
        <v/>
      </c>
      <c r="J51" s="12">
        <f>'가정'!$D$50*J43*J42/'가정'!$D$63</f>
        <v/>
      </c>
      <c r="K51" s="12">
        <f>'가정'!$D$50*K43*K42/'가정'!$D$63</f>
        <v/>
      </c>
      <c r="L51" s="12">
        <f>'가정'!$D$50*L43*L42/'가정'!$D$63</f>
        <v/>
      </c>
      <c r="M51" s="12">
        <f>'가정'!$D$50*M43*M42/'가정'!$D$63</f>
        <v/>
      </c>
      <c r="N51" s="12">
        <f>'가정'!$D$50*N43*N42/'가정'!$D$63</f>
        <v/>
      </c>
      <c r="O51" s="12">
        <f>'가정'!$D$50*O43*O42/'가정'!$D$63</f>
        <v/>
      </c>
      <c r="P51" s="12">
        <f>'가정'!$D$50*P43*P42/'가정'!$D$63</f>
        <v/>
      </c>
      <c r="Q51" s="12">
        <f>'가정'!$D$50*Q43*Q42/'가정'!$D$63</f>
        <v/>
      </c>
      <c r="R51" s="12">
        <f>'가정'!$D$50*R43*R42/'가정'!$D$63</f>
        <v/>
      </c>
      <c r="S51" s="12">
        <f>'가정'!$D$50*S43*S42/'가정'!$D$63</f>
        <v/>
      </c>
    </row>
    <row r="52">
      <c r="A52" t="inlineStr">
        <is>
          <t>손 소모비 (원/년)</t>
        </is>
      </c>
      <c r="B52" t="inlineStr">
        <is>
          <t>N x 교체당 비율 x 손 가격 x 환율</t>
        </is>
      </c>
      <c r="C52" s="13">
        <f>C51*C44*'가정'!$D$49*'가정'!$D$46</f>
        <v/>
      </c>
      <c r="D52" s="13">
        <f>D51*D44*'가정'!$D$49*'가정'!$D$46</f>
        <v/>
      </c>
      <c r="E52" s="13">
        <f>E51*E44*'가정'!$D$49*'가정'!$D$46</f>
        <v/>
      </c>
      <c r="F52" s="13">
        <f>F51*F44*'가정'!$D$49*'가정'!$D$46</f>
        <v/>
      </c>
      <c r="G52" s="13">
        <f>G51*G44*'가정'!$D$49*'가정'!$D$46</f>
        <v/>
      </c>
      <c r="H52" s="13">
        <f>H51*H44*'가정'!$D$49*'가정'!$D$46</f>
        <v/>
      </c>
      <c r="I52" s="13">
        <f>I51*I44*'가정'!$D$49*'가정'!$D$46</f>
        <v/>
      </c>
      <c r="J52" s="13">
        <f>J51*J44*'가정'!$D$49*'가정'!$D$46</f>
        <v/>
      </c>
      <c r="K52" s="13">
        <f>K51*K44*'가정'!$D$49*'가정'!$D$46</f>
        <v/>
      </c>
      <c r="L52" s="13">
        <f>L51*L44*'가정'!$D$49*'가정'!$D$46</f>
        <v/>
      </c>
      <c r="M52" s="13">
        <f>M51*M44*'가정'!$D$49*'가정'!$D$46</f>
        <v/>
      </c>
      <c r="N52" s="13">
        <f>N51*N44*'가정'!$D$49*'가정'!$D$46</f>
        <v/>
      </c>
      <c r="O52" s="13">
        <f>O51*O44*'가정'!$D$49*'가정'!$D$46</f>
        <v/>
      </c>
      <c r="P52" s="13">
        <f>P51*P44*'가정'!$D$49*'가정'!$D$46</f>
        <v/>
      </c>
      <c r="Q52" s="13">
        <f>Q51*Q44*'가정'!$D$49*'가정'!$D$46</f>
        <v/>
      </c>
      <c r="R52" s="13">
        <f>R51*R44*'가정'!$D$49*'가정'!$D$46</f>
        <v/>
      </c>
      <c r="S52" s="13">
        <f>S51*S44*'가정'!$D$49*'가정'!$D$46</f>
        <v/>
      </c>
    </row>
    <row r="53">
      <c r="A53" t="inlineStr">
        <is>
          <t>라이선스+관리 인력+전력 (원/년)</t>
        </is>
      </c>
      <c r="B53" t="inlineStr">
        <is>
          <t>가정 5절 (현재 0, 미확인)</t>
        </is>
      </c>
      <c r="C53" s="13">
        <f>'가정'!$D$72+'가정'!$D$73+'가정'!$D$74</f>
        <v/>
      </c>
      <c r="D53" s="13">
        <f>'가정'!$D$72+'가정'!$D$73+'가정'!$D$74</f>
        <v/>
      </c>
      <c r="E53" s="13">
        <f>'가정'!$D$72+'가정'!$D$73+'가정'!$D$74</f>
        <v/>
      </c>
      <c r="F53" s="13">
        <f>'가정'!$D$72+'가정'!$D$73+'가정'!$D$74</f>
        <v/>
      </c>
      <c r="G53" s="13">
        <f>'가정'!$D$72+'가정'!$D$73+'가정'!$D$74</f>
        <v/>
      </c>
      <c r="H53" s="13">
        <f>'가정'!$D$72+'가정'!$D$73+'가정'!$D$74</f>
        <v/>
      </c>
      <c r="I53" s="13">
        <f>'가정'!$D$72+'가정'!$D$73+'가정'!$D$74</f>
        <v/>
      </c>
      <c r="J53" s="13">
        <f>'가정'!$D$72+'가정'!$D$73+'가정'!$D$74</f>
        <v/>
      </c>
      <c r="K53" s="13">
        <f>'가정'!$D$72+'가정'!$D$73+'가정'!$D$74</f>
        <v/>
      </c>
      <c r="L53" s="13">
        <f>'가정'!$D$72+'가정'!$D$73+'가정'!$D$74</f>
        <v/>
      </c>
      <c r="M53" s="13">
        <f>'가정'!$D$72+'가정'!$D$73+'가정'!$D$74</f>
        <v/>
      </c>
      <c r="N53" s="13">
        <f>'가정'!$D$72+'가정'!$D$73+'가정'!$D$74</f>
        <v/>
      </c>
      <c r="O53" s="13">
        <f>'가정'!$D$72+'가정'!$D$73+'가정'!$D$74</f>
        <v/>
      </c>
      <c r="P53" s="13">
        <f>'가정'!$D$72+'가정'!$D$73+'가정'!$D$74</f>
        <v/>
      </c>
      <c r="Q53" s="13">
        <f>'가정'!$D$72+'가정'!$D$73+'가정'!$D$74</f>
        <v/>
      </c>
      <c r="R53" s="13">
        <f>'가정'!$D$72+'가정'!$D$73+'가정'!$D$74</f>
        <v/>
      </c>
      <c r="S53" s="13">
        <f>'가정'!$D$72+'가정'!$D$73+'가정'!$D$74</f>
        <v/>
      </c>
    </row>
    <row r="54">
      <c r="A54" t="inlineStr">
        <is>
          <t>연간 운영비 (원)</t>
        </is>
      </c>
      <c r="B54" t="inlineStr">
        <is>
          <t>유지보수 + 손 소모 + 기타</t>
        </is>
      </c>
      <c r="C54" s="13">
        <f>C50+C52+C53</f>
        <v/>
      </c>
      <c r="D54" s="13">
        <f>D50+D52+D53</f>
        <v/>
      </c>
      <c r="E54" s="13">
        <f>E50+E52+E53</f>
        <v/>
      </c>
      <c r="F54" s="13">
        <f>F50+F52+F53</f>
        <v/>
      </c>
      <c r="G54" s="13">
        <f>G50+G52+G53</f>
        <v/>
      </c>
      <c r="H54" s="13">
        <f>H50+H52+H53</f>
        <v/>
      </c>
      <c r="I54" s="13">
        <f>I50+I52+I53</f>
        <v/>
      </c>
      <c r="J54" s="13">
        <f>J50+J52+J53</f>
        <v/>
      </c>
      <c r="K54" s="13">
        <f>K50+K52+K53</f>
        <v/>
      </c>
      <c r="L54" s="13">
        <f>L50+L52+L53</f>
        <v/>
      </c>
      <c r="M54" s="13">
        <f>M50+M52+M53</f>
        <v/>
      </c>
      <c r="N54" s="13">
        <f>N50+N52+N53</f>
        <v/>
      </c>
      <c r="O54" s="13">
        <f>O50+O52+O53</f>
        <v/>
      </c>
      <c r="P54" s="13">
        <f>P50+P52+P53</f>
        <v/>
      </c>
      <c r="Q54" s="13">
        <f>Q50+Q52+Q53</f>
        <v/>
      </c>
      <c r="R54" s="13">
        <f>R50+R52+R53</f>
        <v/>
      </c>
      <c r="S54" s="13">
        <f>S50+S52+S53</f>
        <v/>
      </c>
    </row>
    <row r="55">
      <c r="A55" t="inlineStr">
        <is>
          <t>연간 순효과 (원)</t>
        </is>
      </c>
      <c r="B55" t="inlineStr">
        <is>
          <t>절감 - 운영비 (대체 인원에 성공률·가동률 이미 반영)</t>
        </is>
      </c>
      <c r="C55" s="27">
        <f>C49-C54</f>
        <v/>
      </c>
      <c r="D55" s="27">
        <f>D49-D54</f>
        <v/>
      </c>
      <c r="E55" s="27">
        <f>E49-E54</f>
        <v/>
      </c>
      <c r="F55" s="27">
        <f>F49-F54</f>
        <v/>
      </c>
      <c r="G55" s="27">
        <f>G49-G54</f>
        <v/>
      </c>
      <c r="H55" s="27">
        <f>H49-H54</f>
        <v/>
      </c>
      <c r="I55" s="27">
        <f>I49-I54</f>
        <v/>
      </c>
      <c r="J55" s="27">
        <f>J49-J54</f>
        <v/>
      </c>
      <c r="K55" s="27">
        <f>K49-K54</f>
        <v/>
      </c>
      <c r="L55" s="27">
        <f>L49-L54</f>
        <v/>
      </c>
      <c r="M55" s="27">
        <f>M49-M54</f>
        <v/>
      </c>
      <c r="N55" s="27">
        <f>N49-N54</f>
        <v/>
      </c>
      <c r="O55" s="27">
        <f>O49-O54</f>
        <v/>
      </c>
      <c r="P55" s="27">
        <f>P49-P54</f>
        <v/>
      </c>
      <c r="Q55" s="27">
        <f>Q49-Q54</f>
        <v/>
      </c>
      <c r="R55" s="27">
        <f>R49-R54</f>
        <v/>
      </c>
      <c r="S55" s="27">
        <f>S49-S54</f>
        <v/>
      </c>
    </row>
    <row r="56">
      <c r="A56" t="inlineStr">
        <is>
          <t>단순 회수 기간 (년)</t>
        </is>
      </c>
      <c r="B56" t="inlineStr">
        <is>
          <t>총 투자비 / 연간 순효과</t>
        </is>
      </c>
      <c r="C56" s="7">
        <f>IF(C55&gt;0,$C$27/C55,"회수 불가")</f>
        <v/>
      </c>
      <c r="D56" s="7">
        <f>IF(D55&gt;0,$C$27/D55,"회수 불가")</f>
        <v/>
      </c>
      <c r="E56" s="7">
        <f>IF(E55&gt;0,$C$27/E55,"회수 불가")</f>
        <v/>
      </c>
      <c r="F56" s="7">
        <f>IF(F55&gt;0,$C$27/F55,"회수 불가")</f>
        <v/>
      </c>
      <c r="G56" s="7">
        <f>IF(G55&gt;0,$C$27/G55,"회수 불가")</f>
        <v/>
      </c>
      <c r="H56" s="7">
        <f>IF(H55&gt;0,$C$27/H55,"회수 불가")</f>
        <v/>
      </c>
      <c r="I56" s="7">
        <f>IF(I55&gt;0,$C$27/I55,"회수 불가")</f>
        <v/>
      </c>
      <c r="J56" s="7">
        <f>IF(J55&gt;0,$C$27/J55,"회수 불가")</f>
        <v/>
      </c>
      <c r="K56" s="7">
        <f>IF(K55&gt;0,$C$27/K55,"회수 불가")</f>
        <v/>
      </c>
      <c r="L56" s="7">
        <f>IF(L55&gt;0,$C$27/L55,"회수 불가")</f>
        <v/>
      </c>
      <c r="M56" s="7">
        <f>IF(M55&gt;0,$C$27/M55,"회수 불가")</f>
        <v/>
      </c>
      <c r="N56" s="7">
        <f>IF(N55&gt;0,$C$27/N55,"회수 불가")</f>
        <v/>
      </c>
      <c r="O56" s="7">
        <f>IF(O55&gt;0,$C$27/O55,"회수 불가")</f>
        <v/>
      </c>
      <c r="P56" s="7">
        <f>IF(P55&gt;0,$C$27/P55,"회수 불가")</f>
        <v/>
      </c>
      <c r="Q56" s="7">
        <f>IF(Q55&gt;0,$C$27/Q55,"회수 불가")</f>
        <v/>
      </c>
      <c r="R56" s="7">
        <f>IF(R55&gt;0,$C$27/R55,"회수 불가")</f>
        <v/>
      </c>
      <c r="S56" s="7">
        <f>IF(S55&gt;0,$C$27/S55,"회수 불가")</f>
        <v/>
      </c>
    </row>
    <row r="57">
      <c r="A57" t="inlineStr">
        <is>
          <t>5년 회수에 필요한 연 순효과 (원)</t>
        </is>
      </c>
      <c r="B57" t="inlineStr">
        <is>
          <t>총 투자비 / 5</t>
        </is>
      </c>
      <c r="C57" s="13">
        <f>$C$28</f>
        <v/>
      </c>
      <c r="D57" s="13">
        <f>$C$28</f>
        <v/>
      </c>
      <c r="E57" s="13">
        <f>$C$28</f>
        <v/>
      </c>
      <c r="F57" s="13">
        <f>$C$28</f>
        <v/>
      </c>
      <c r="G57" s="13">
        <f>$C$28</f>
        <v/>
      </c>
      <c r="H57" s="13">
        <f>$C$28</f>
        <v/>
      </c>
      <c r="I57" s="13">
        <f>$C$28</f>
        <v/>
      </c>
      <c r="J57" s="13">
        <f>$C$28</f>
        <v/>
      </c>
      <c r="K57" s="13">
        <f>$C$28</f>
        <v/>
      </c>
      <c r="L57" s="13">
        <f>$C$28</f>
        <v/>
      </c>
      <c r="M57" s="13">
        <f>$C$28</f>
        <v/>
      </c>
      <c r="N57" s="13">
        <f>$C$28</f>
        <v/>
      </c>
      <c r="O57" s="13">
        <f>$C$28</f>
        <v/>
      </c>
      <c r="P57" s="13">
        <f>$C$28</f>
        <v/>
      </c>
      <c r="Q57" s="13">
        <f>$C$28</f>
        <v/>
      </c>
      <c r="R57" s="13">
        <f>$C$28</f>
        <v/>
      </c>
      <c r="S57" s="13">
        <f>$C$28</f>
        <v/>
      </c>
    </row>
    <row r="58">
      <c r="A58" t="inlineStr">
        <is>
          <t>필요 순효과 대비 과부족 (원/년)</t>
        </is>
      </c>
      <c r="B58" t="inlineStr">
        <is>
          <t>양수면 5년 내 회수</t>
        </is>
      </c>
      <c r="C58" s="13">
        <f>C55-C57</f>
        <v/>
      </c>
      <c r="D58" s="13">
        <f>D55-D57</f>
        <v/>
      </c>
      <c r="E58" s="13">
        <f>E55-E57</f>
        <v/>
      </c>
      <c r="F58" s="13">
        <f>F55-F57</f>
        <v/>
      </c>
      <c r="G58" s="13">
        <f>G55-G57</f>
        <v/>
      </c>
      <c r="H58" s="13">
        <f>H55-H57</f>
        <v/>
      </c>
      <c r="I58" s="13">
        <f>I55-I57</f>
        <v/>
      </c>
      <c r="J58" s="13">
        <f>J55-J57</f>
        <v/>
      </c>
      <c r="K58" s="13">
        <f>K55-K57</f>
        <v/>
      </c>
      <c r="L58" s="13">
        <f>L55-L57</f>
        <v/>
      </c>
      <c r="M58" s="13">
        <f>M55-M57</f>
        <v/>
      </c>
      <c r="N58" s="13">
        <f>N55-N57</f>
        <v/>
      </c>
      <c r="O58" s="13">
        <f>O55-O57</f>
        <v/>
      </c>
      <c r="P58" s="13">
        <f>P55-P57</f>
        <v/>
      </c>
      <c r="Q58" s="13">
        <f>Q55-Q57</f>
        <v/>
      </c>
      <c r="R58" s="13">
        <f>R55-R57</f>
        <v/>
      </c>
      <c r="S58" s="13">
        <f>S55-S57</f>
        <v/>
      </c>
    </row>
    <row r="59">
      <c r="A59" t="inlineStr">
        <is>
          <t>5년 NPV (원)</t>
        </is>
      </c>
      <c r="B59" t="inlineStr">
        <is>
          <t>-투자비 + NPV(할인율, 연 순효과 x 5)</t>
        </is>
      </c>
      <c r="C59" s="27">
        <f>-$C$27+NPV('가정'!$D$83,C55,C55,C55,C55,C55)</f>
        <v/>
      </c>
      <c r="D59" s="27">
        <f>-$C$27+NPV('가정'!$D$83,D55,D55,D55,D55,D55)</f>
        <v/>
      </c>
      <c r="E59" s="27">
        <f>-$C$27+NPV('가정'!$D$83,E55,E55,E55,E55,E55)</f>
        <v/>
      </c>
      <c r="F59" s="27">
        <f>-$C$27+NPV('가정'!$D$83,F55,F55,F55,F55,F55)</f>
        <v/>
      </c>
      <c r="G59" s="27">
        <f>-$C$27+NPV('가정'!$D$83,G55,G55,G55,G55,G55)</f>
        <v/>
      </c>
      <c r="H59" s="27">
        <f>-$C$27+NPV('가정'!$D$83,H55,H55,H55,H55,H55)</f>
        <v/>
      </c>
      <c r="I59" s="27">
        <f>-$C$27+NPV('가정'!$D$83,I55,I55,I55,I55,I55)</f>
        <v/>
      </c>
      <c r="J59" s="27">
        <f>-$C$27+NPV('가정'!$D$83,J55,J55,J55,J55,J55)</f>
        <v/>
      </c>
      <c r="K59" s="27">
        <f>-$C$27+NPV('가정'!$D$83,K55,K55,K55,K55,K55)</f>
        <v/>
      </c>
      <c r="L59" s="27">
        <f>-$C$27+NPV('가정'!$D$83,L55,L55,L55,L55,L55)</f>
        <v/>
      </c>
      <c r="M59" s="27">
        <f>-$C$27+NPV('가정'!$D$83,M55,M55,M55,M55,M55)</f>
        <v/>
      </c>
      <c r="N59" s="27">
        <f>-$C$27+NPV('가정'!$D$83,N55,N55,N55,N55,N55)</f>
        <v/>
      </c>
      <c r="O59" s="27">
        <f>-$C$27+NPV('가정'!$D$83,O55,O55,O55,O55,O55)</f>
        <v/>
      </c>
      <c r="P59" s="27">
        <f>-$C$27+NPV('가정'!$D$83,P55,P55,P55,P55,P55)</f>
        <v/>
      </c>
      <c r="Q59" s="27">
        <f>-$C$27+NPV('가정'!$D$83,Q55,Q55,Q55,Q55,Q55)</f>
        <v/>
      </c>
      <c r="R59" s="27">
        <f>-$C$27+NPV('가정'!$D$83,R55,R55,R55,R55,R55)</f>
        <v/>
      </c>
      <c r="S59" s="27">
        <f>-$C$27+NPV('가정'!$D$83,S55,S55,S55,S55,S55)</f>
        <v/>
      </c>
    </row>
    <row r="60">
      <c r="A60" t="inlineStr">
        <is>
          <t>5년 내 회수?</t>
        </is>
      </c>
      <c r="C60" s="11">
        <f>IF(C58&gt;=0,"예","아니오")</f>
        <v/>
      </c>
      <c r="D60" s="11">
        <f>IF(D58&gt;=0,"예","아니오")</f>
        <v/>
      </c>
      <c r="E60" s="11">
        <f>IF(E58&gt;=0,"예","아니오")</f>
        <v/>
      </c>
      <c r="F60" s="11">
        <f>IF(F58&gt;=0,"예","아니오")</f>
        <v/>
      </c>
      <c r="G60" s="11">
        <f>IF(G58&gt;=0,"예","아니오")</f>
        <v/>
      </c>
      <c r="H60" s="11">
        <f>IF(H58&gt;=0,"예","아니오")</f>
        <v/>
      </c>
      <c r="I60" s="11">
        <f>IF(I58&gt;=0,"예","아니오")</f>
        <v/>
      </c>
      <c r="J60" s="11">
        <f>IF(J58&gt;=0,"예","아니오")</f>
        <v/>
      </c>
      <c r="K60" s="11">
        <f>IF(K58&gt;=0,"예","아니오")</f>
        <v/>
      </c>
      <c r="L60" s="11">
        <f>IF(L58&gt;=0,"예","아니오")</f>
        <v/>
      </c>
      <c r="M60" s="11">
        <f>IF(M58&gt;=0,"예","아니오")</f>
        <v/>
      </c>
      <c r="N60" s="11">
        <f>IF(N58&gt;=0,"예","아니오")</f>
        <v/>
      </c>
      <c r="O60" s="11">
        <f>IF(O58&gt;=0,"예","아니오")</f>
        <v/>
      </c>
      <c r="P60" s="11">
        <f>IF(P58&gt;=0,"예","아니오")</f>
        <v/>
      </c>
      <c r="Q60" s="11">
        <f>IF(Q58&gt;=0,"예","아니오")</f>
        <v/>
      </c>
      <c r="R60" s="11">
        <f>IF(R58&gt;=0,"예","아니오")</f>
        <v/>
      </c>
      <c r="S60" s="11">
        <f>IF(S58&gt;=0,"예","아니오")</f>
        <v/>
      </c>
    </row>
    <row r="61">
      <c r="A61" t="inlineStr">
        <is>
          <t>연 감가상각 (원, 참고)</t>
        </is>
      </c>
      <c r="B61" t="inlineStr">
        <is>
          <t>총 투자비 / 감가상각 기간</t>
        </is>
      </c>
      <c r="C61" s="13">
        <f>$C$27/'가정'!$D$85</f>
        <v/>
      </c>
      <c r="D61" s="13">
        <f>$C$27/'가정'!$D$85</f>
        <v/>
      </c>
      <c r="E61" s="13">
        <f>$C$27/'가정'!$D$85</f>
        <v/>
      </c>
      <c r="F61" s="13">
        <f>$C$27/'가정'!$D$85</f>
        <v/>
      </c>
      <c r="G61" s="13">
        <f>$C$27/'가정'!$D$85</f>
        <v/>
      </c>
      <c r="H61" s="13">
        <f>$C$27/'가정'!$D$85</f>
        <v/>
      </c>
      <c r="I61" s="13">
        <f>$C$27/'가정'!$D$85</f>
        <v/>
      </c>
      <c r="J61" s="13">
        <f>$C$27/'가정'!$D$85</f>
        <v/>
      </c>
      <c r="K61" s="13">
        <f>$C$27/'가정'!$D$85</f>
        <v/>
      </c>
      <c r="L61" s="13">
        <f>$C$27/'가정'!$D$85</f>
        <v/>
      </c>
      <c r="M61" s="13">
        <f>$C$27/'가정'!$D$85</f>
        <v/>
      </c>
      <c r="N61" s="13">
        <f>$C$27/'가정'!$D$85</f>
        <v/>
      </c>
      <c r="O61" s="13">
        <f>$C$27/'가정'!$D$85</f>
        <v/>
      </c>
      <c r="P61" s="13">
        <f>$C$27/'가정'!$D$85</f>
        <v/>
      </c>
      <c r="Q61" s="13">
        <f>$C$27/'가정'!$D$85</f>
        <v/>
      </c>
      <c r="R61" s="13">
        <f>$C$27/'가정'!$D$85</f>
        <v/>
      </c>
      <c r="S61" s="13">
        <f>$C$27/'가정'!$D$85</f>
        <v/>
      </c>
    </row>
    <row r="63">
      <c r="A63" s="3" t="inlineStr">
        <is>
          <t>E. 연도별 현금흐름 - 기본 시나리오 (NPV() 함수, 연 순효과 일정 가정, 감가·세금·잔존가치 제외)</t>
        </is>
      </c>
    </row>
    <row r="64">
      <c r="A64" s="4" t="inlineStr">
        <is>
          <t>항목</t>
        </is>
      </c>
      <c r="B64" s="4" t="inlineStr">
        <is>
          <t>설명</t>
        </is>
      </c>
      <c r="C64" s="4" t="inlineStr">
        <is>
          <t>t=0</t>
        </is>
      </c>
      <c r="D64" s="4" t="inlineStr">
        <is>
          <t>t=1</t>
        </is>
      </c>
      <c r="E64" s="4" t="inlineStr">
        <is>
          <t>t=2</t>
        </is>
      </c>
      <c r="F64" s="4" t="inlineStr">
        <is>
          <t>t=3</t>
        </is>
      </c>
      <c r="G64" s="4" t="inlineStr">
        <is>
          <t>t=4</t>
        </is>
      </c>
      <c r="H64" s="4" t="inlineStr">
        <is>
          <t>t=5</t>
        </is>
      </c>
    </row>
    <row r="65">
      <c r="A65" t="inlineStr">
        <is>
          <t>현금흐름 (원)</t>
        </is>
      </c>
      <c r="C65" s="13">
        <f>-$C$27</f>
        <v/>
      </c>
      <c r="D65" s="13">
        <f>$C$55</f>
        <v/>
      </c>
      <c r="E65" s="13">
        <f>$C$55</f>
        <v/>
      </c>
      <c r="F65" s="13">
        <f>$C$55</f>
        <v/>
      </c>
      <c r="G65" s="13">
        <f>$C$55</f>
        <v/>
      </c>
      <c r="H65" s="13">
        <f>$C$55</f>
        <v/>
      </c>
    </row>
    <row r="66">
      <c r="A66" t="inlineStr">
        <is>
          <t>누적 현금흐름 (원)</t>
        </is>
      </c>
      <c r="C66" s="13">
        <f>C65</f>
        <v/>
      </c>
      <c r="D66" s="13">
        <f>C66+D65</f>
        <v/>
      </c>
      <c r="E66" s="13">
        <f>D66+E65</f>
        <v/>
      </c>
      <c r="F66" s="13">
        <f>E66+F65</f>
        <v/>
      </c>
      <c r="G66" s="13">
        <f>F66+G65</f>
        <v/>
      </c>
      <c r="H66" s="13">
        <f>G66+H65</f>
        <v/>
      </c>
    </row>
    <row r="67">
      <c r="A67" t="inlineStr">
        <is>
          <t>NPV (원) = C열 t=0 + NPV(할인율, t=1~5)</t>
        </is>
      </c>
      <c r="C67" s="33">
        <f>C65+NPV('가정'!$D$83,D65:H65)</f>
        <v/>
      </c>
    </row>
    <row r="68">
      <c r="A68" t="inlineStr">
        <is>
          <t>D절 기본 NPV와 차이 (0이어야 함)</t>
        </is>
      </c>
      <c r="C68" s="13">
        <f>C67-C59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B3 ROI 모델 - 민감도 시트 (모든 표는 수식, 축 값은 파란 입력)</t>
        </is>
      </c>
    </row>
    <row r="2" ht="36" customHeight="1">
      <c r="A2" s="2" t="inlineStr">
        <is>
          <t>기준값 = 가정 시트 선택 시나리오(인건비, 손 교체, 교대, 속도비). 표의 회수 기간 단위는 년, '회수 불가'는 연 순효과 0 이하. 초록 = 5년 이내 회수. 속도비 0.5는 PoC 기술 가능성 게이트이며 ROI 기준이 아니다.</t>
        </is>
      </c>
    </row>
    <row r="4">
      <c r="A4" s="3" t="inlineStr">
        <is>
          <t>결과를 가장 크게 흔드는 변수 (NPV 폭 기준, 아래 1절에서 자동 선정)</t>
        </is>
      </c>
    </row>
    <row r="5">
      <c r="A5" s="34">
        <f>"1위: "&amp;INDEX($A$9:$A$17,MATCH(1,$G$9:$G$17,0))&amp;" (폭 "&amp;TEXT(INDEX($F$9:$F$17,MATCH(1,$G$9:$G$17,0)),"#,##0")&amp;" 백만원)"</f>
        <v/>
      </c>
    </row>
    <row r="6">
      <c r="A6" s="34">
        <f>"2위: "&amp;INDEX($A$9:$A$17,MATCH(2,$G$9:$G$17,0))&amp;" (폭 "&amp;TEXT(INDEX($F$9:$F$17,MATCH(2,$G$9:$G$17,0)),"#,##0")&amp;" 백만원)"</f>
        <v/>
      </c>
    </row>
    <row r="7">
      <c r="A7" s="3" t="inlineStr">
        <is>
          <t>1. 변수별 영향 폭 (5년 NPV, 백만 원). 한 번에 한 변수만 바꾼 값</t>
        </is>
      </c>
    </row>
    <row r="8">
      <c r="A8" s="4" t="inlineStr">
        <is>
          <t>변수</t>
        </is>
      </c>
      <c r="B8" s="4" t="inlineStr">
        <is>
          <t>불리한 값</t>
        </is>
      </c>
      <c r="C8" s="4" t="inlineStr">
        <is>
          <t>유리한 값</t>
        </is>
      </c>
      <c r="D8" s="4" t="inlineStr">
        <is>
          <t>NPV 불리 (백만원)</t>
        </is>
      </c>
      <c r="E8" s="4" t="inlineStr">
        <is>
          <t>NPV 유리 (백만원)</t>
        </is>
      </c>
      <c r="F8" s="4" t="inlineStr">
        <is>
          <t>폭 (백만원)</t>
        </is>
      </c>
      <c r="G8" s="4" t="inlineStr">
        <is>
          <t>순위</t>
        </is>
      </c>
    </row>
    <row r="9">
      <c r="A9" t="inlineStr">
        <is>
          <t>속도비 (로봇/사람)</t>
        </is>
      </c>
      <c r="B9" t="inlineStr">
        <is>
          <t>0.5</t>
        </is>
      </c>
      <c r="C9" t="inlineStr">
        <is>
          <t>1.0</t>
        </is>
      </c>
      <c r="D9" s="13">
        <f>((((1)*('계산'!$C$18+'계산'!$C$19)+'계산'!$C$22)*(1+('가정'!$D$57))*'가정'!$D$46+'가정'!$D$58)*-1+PV('가정'!$D$83,'가정'!$D$84,-('가정'!$D$12*(0.5)*('가정'!$D$15)*('가정'!$D$16)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E9" s="13">
        <f>((((1)*('계산'!$C$18+'계산'!$C$19)+'계산'!$C$22)*(1+('가정'!$D$57))*'가정'!$D$46+'가정'!$D$58)*-1+PV('가정'!$D$83,'가정'!$D$84,-('가정'!$D$12*(1)*('가정'!$D$15)*('가정'!$D$16)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F9" s="13">
        <f>ABS(E9-D9)</f>
        <v/>
      </c>
      <c r="G9">
        <f>RANK(F9,$F$9:$F$17)</f>
        <v/>
      </c>
    </row>
    <row r="10">
      <c r="A10" t="inlineStr">
        <is>
          <t>인건비 시나리오 (시급, 야간, 연장)</t>
        </is>
      </c>
      <c r="B10" t="inlineStr">
        <is>
          <t>하한</t>
        </is>
      </c>
      <c r="C10" t="inlineStr">
        <is>
          <t>상한</t>
        </is>
      </c>
      <c r="D10" s="13">
        <f>((((1)*('계산'!$C$18+'계산'!$C$19)+'계산'!$C$22)*(1+('가정'!$D$57))*'가정'!$D$46+'가정'!$D$58)*-1+PV('가정'!$D$83,'가정'!$D$84,-('가정'!$D$12*('가정'!$D$14)*('가정'!$D$15)*('가정'!$D$16)*('가정'!$D$9)*(INDEX('계산'!$C$13:$E$13,1)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E10" s="13">
        <f>((((1)*('계산'!$C$18+'계산'!$C$19)+'계산'!$C$22)*(1+('가정'!$D$57))*'가정'!$D$46+'가정'!$D$58)*-1+PV('가정'!$D$83,'가정'!$D$84,-('가정'!$D$12*('가정'!$D$14)*('가정'!$D$15)*('가정'!$D$16)*('가정'!$D$9)*(INDEX('계산'!$C$13:$E$13,3)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F10" s="13">
        <f>ABS(E10-D10)</f>
        <v/>
      </c>
      <c r="G10">
        <f>RANK(F10,$F$9:$F$17)</f>
        <v/>
      </c>
    </row>
    <row r="11">
      <c r="A11" t="inlineStr">
        <is>
          <t>손 교체 (f x 교체당 비율)</t>
        </is>
      </c>
      <c r="B11" t="inlineStr">
        <is>
          <t>보수 f2·100%</t>
        </is>
      </c>
      <c r="C11" t="inlineStr">
        <is>
          <t>낙관 f1·20%</t>
        </is>
      </c>
      <c r="D11" s="13">
        <f>((((1)*('계산'!$C$18+'계산'!$C$19)+'계산'!$C$22)*(1+('가정'!$D$57))*'가정'!$D$46+'가정'!$D$58)*-1+PV('가정'!$D$83,'가정'!$D$84,-('가정'!$D$12*('가정'!$D$14)*('가정'!$D$15)*('가정'!$D$16)*('가정'!$D$9)*('계산'!$C$14)-((1)*'계산'!$C$18+'계산'!$C$22)*('가정'!$D$60)*'가정'!$D$46-'가정'!$D$50*(CHOOSE(3,'가정'!$D$64,'가정'!$D$66,'가정'!$D$68,'가정'!$D$70))*('가정'!$D$9)/'가정'!$D$63*(CHOOSE(3,'가정'!$D$65,'가정'!$D$67,'가정'!$D$69,'가정'!$D$71))*'가정'!$D$49*(1)*'가정'!$D$46-('가정'!$D$72+'가정'!$D$73+'가정'!$D$74))))/1000000</f>
        <v/>
      </c>
      <c r="E11" s="13">
        <f>((((1)*('계산'!$C$18+'계산'!$C$19)+'계산'!$C$22)*(1+('가정'!$D$57))*'가정'!$D$46+'가정'!$D$58)*-1+PV('가정'!$D$83,'가정'!$D$84,-('가정'!$D$12*('가정'!$D$14)*('가정'!$D$15)*('가정'!$D$16)*('가정'!$D$9)*('계산'!$C$14)-((1)*'계산'!$C$18+'계산'!$C$22)*('가정'!$D$60)*'가정'!$D$46-'가정'!$D$50*(CHOOSE(1,'가정'!$D$64,'가정'!$D$66,'가정'!$D$68,'가정'!$D$70))*('가정'!$D$9)/'가정'!$D$63*(CHOOSE(1,'가정'!$D$65,'가정'!$D$67,'가정'!$D$69,'가정'!$D$71))*'가정'!$D$49*(1)*'가정'!$D$46-('가정'!$D$72+'가정'!$D$73+'가정'!$D$74))))/1000000</f>
        <v/>
      </c>
      <c r="F11" s="13">
        <f>ABS(E11-D11)</f>
        <v/>
      </c>
      <c r="G11">
        <f>RANK(F11,$F$9:$F$17)</f>
        <v/>
      </c>
    </row>
    <row r="12">
      <c r="A12" t="inlineStr">
        <is>
          <t>교대 수</t>
        </is>
      </c>
      <c r="B12" t="inlineStr">
        <is>
          <t>2교대</t>
        </is>
      </c>
      <c r="C12" t="inlineStr">
        <is>
          <t>3교대</t>
        </is>
      </c>
      <c r="D12" s="13">
        <f>((((1)*('계산'!$C$18+'계산'!$C$19)+'계산'!$C$22)*(1+('가정'!$D$57))*'가정'!$D$46+'가정'!$D$58)*-1+PV('가정'!$D$83,'가정'!$D$84,-('가정'!$D$12*('가정'!$D$14)*('가정'!$D$15)*('가정'!$D$16)*(2)*('계산'!$C$14)-((1)*'계산'!$C$18+'계산'!$C$22)*('가정'!$D$60)*'가정'!$D$46-'가정'!$D$50*(CHOOSE('가정'!$D$7,'가정'!$D$64,'가정'!$D$66,'가정'!$D$68,'가정'!$D$70))*(2)/'가정'!$D$63*(CHOOSE('가정'!$D$7,'가정'!$D$65,'가정'!$D$67,'가정'!$D$69,'가정'!$D$71))*'가정'!$D$49*(1)*'가정'!$D$46-('가정'!$D$72+'가정'!$D$73+'가정'!$D$74))))/1000000</f>
        <v/>
      </c>
      <c r="E12" s="13">
        <f>((((1)*('계산'!$C$18+'계산'!$C$19)+'계산'!$C$22)*(1+('가정'!$D$57))*'가정'!$D$46+'가정'!$D$58)*-1+PV('가정'!$D$83,'가정'!$D$84,-('가정'!$D$12*('가정'!$D$14)*('가정'!$D$15)*('가정'!$D$16)*(3)*('계산'!$C$14)-((1)*'계산'!$C$18+'계산'!$C$22)*('가정'!$D$60)*'가정'!$D$46-'가정'!$D$50*(CHOOSE('가정'!$D$7,'가정'!$D$64,'가정'!$D$66,'가정'!$D$68,'가정'!$D$70))*(3)/'가정'!$D$63*(CHOOSE('가정'!$D$7,'가정'!$D$65,'가정'!$D$67,'가정'!$D$69,'가정'!$D$71))*'가정'!$D$49*(1)*'가정'!$D$46-('가정'!$D$72+'가정'!$D$73+'가정'!$D$74))))/1000000</f>
        <v/>
      </c>
      <c r="F12" s="13">
        <f>ABS(E12-D12)</f>
        <v/>
      </c>
      <c r="G12">
        <f>RANK(F12,$F$9:$F$17)</f>
        <v/>
      </c>
    </row>
    <row r="13">
      <c r="A13" t="inlineStr">
        <is>
          <t>성공률</t>
        </is>
      </c>
      <c r="B13" t="inlineStr">
        <is>
          <t>70%</t>
        </is>
      </c>
      <c r="C13" t="inlineStr">
        <is>
          <t>95%</t>
        </is>
      </c>
      <c r="D13" s="13">
        <f>((((1)*('계산'!$C$18+'계산'!$C$19)+'계산'!$C$22)*(1+('가정'!$D$57))*'가정'!$D$46+'가정'!$D$58)*-1+PV('가정'!$D$83,'가정'!$D$84,-('가정'!$D$12*('가정'!$D$14)*(0.7)*('가정'!$D$16)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E13" s="13">
        <f>((((1)*('계산'!$C$18+'계산'!$C$19)+'계산'!$C$22)*(1+('가정'!$D$57))*'가정'!$D$46+'가정'!$D$58)*-1+PV('가정'!$D$83,'가정'!$D$84,-('가정'!$D$12*('가정'!$D$14)*(0.95)*('가정'!$D$16)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F13" s="13">
        <f>ABS(E13-D13)</f>
        <v/>
      </c>
      <c r="G13">
        <f>RANK(F13,$F$9:$F$17)</f>
        <v/>
      </c>
    </row>
    <row r="14">
      <c r="A14" t="inlineStr">
        <is>
          <t>가동률</t>
        </is>
      </c>
      <c r="B14" t="inlineStr">
        <is>
          <t>60%</t>
        </is>
      </c>
      <c r="C14" t="inlineStr">
        <is>
          <t>100%</t>
        </is>
      </c>
      <c r="D14" s="13">
        <f>((((1)*('계산'!$C$18+'계산'!$C$19)+'계산'!$C$22)*(1+('가정'!$D$57))*'가정'!$D$46+'가정'!$D$58)*-1+PV('가정'!$D$83,'가정'!$D$84,-('가정'!$D$12*('가정'!$D$14)*('가정'!$D$15)*(0.6)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E14" s="13">
        <f>((((1)*('계산'!$C$18+'계산'!$C$19)+'계산'!$C$22)*(1+('가정'!$D$57))*'가정'!$D$46+'가정'!$D$58)*-1+PV('가정'!$D$83,'가정'!$D$84,-('가정'!$D$12*('가정'!$D$14)*('가정'!$D$15)*(1)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F14" s="13">
        <f>ABS(E14-D14)</f>
        <v/>
      </c>
      <c r="G14">
        <f>RANK(F14,$F$9:$F$17)</f>
        <v/>
      </c>
    </row>
    <row r="15">
      <c r="A15" t="inlineStr">
        <is>
          <t>로봇 팔·손 단가</t>
        </is>
      </c>
      <c r="B15" t="inlineStr">
        <is>
          <t>+30%</t>
        </is>
      </c>
      <c r="C15" t="inlineStr">
        <is>
          <t>-30%</t>
        </is>
      </c>
      <c r="D15" s="13">
        <f>((((1.3)*('계산'!$C$18+'계산'!$C$19)+'계산'!$C$22)*(1+('가정'!$D$57))*'가정'!$D$46+'가정'!$D$58)*-1+PV('가정'!$D$83,'가정'!$D$84,-('가정'!$D$12*('가정'!$D$14)*('가정'!$D$15)*('가정'!$D$16)*('가정'!$D$9)*('계산'!$C$14)-((1.3)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(1.3)*'가정'!$D$46-('가정'!$D$72+'가정'!$D$73+'가정'!$D$74))))/1000000</f>
        <v/>
      </c>
      <c r="E15" s="13">
        <f>((((0.7)*('계산'!$C$18+'계산'!$C$19)+'계산'!$C$22)*(1+('가정'!$D$57))*'가정'!$D$46+'가정'!$D$58)*-1+PV('가정'!$D$83,'가정'!$D$84,-('가정'!$D$12*('가정'!$D$14)*('가정'!$D$15)*('가정'!$D$16)*('가정'!$D$9)*('계산'!$C$14)-((0.7)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(0.7)*'가정'!$D$46-('가정'!$D$72+'가정'!$D$73+'가정'!$D$74))))/1000000</f>
        <v/>
      </c>
      <c r="F15" s="13">
        <f>ABS(E15-D15)</f>
        <v/>
      </c>
      <c r="G15">
        <f>RANK(F15,$F$9:$F$17)</f>
        <v/>
      </c>
    </row>
    <row r="16">
      <c r="A16" t="inlineStr">
        <is>
          <t>시스템 통합비율</t>
        </is>
      </c>
      <c r="B16" t="inlineStr">
        <is>
          <t>200%</t>
        </is>
      </c>
      <c r="C16" t="inlineStr">
        <is>
          <t>50%</t>
        </is>
      </c>
      <c r="D16" s="13">
        <f>((((1)*('계산'!$C$18+'계산'!$C$19)+'계산'!$C$22)*(1+(2))*'가정'!$D$46+'가정'!$D$58)*-1+PV('가정'!$D$83,'가정'!$D$84,-('가정'!$D$12*('가정'!$D$14)*('가정'!$D$15)*('가정'!$D$16)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E16" s="13">
        <f>((((1)*('계산'!$C$18+'계산'!$C$19)+'계산'!$C$22)*(1+(0.5))*'가정'!$D$46+'가정'!$D$58)*-1+PV('가정'!$D$83,'가정'!$D$84,-('가정'!$D$12*('가정'!$D$14)*('가정'!$D$15)*('가정'!$D$16)*('가정'!$D$9)*('계산'!$C$14)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F16" s="13">
        <f>ABS(E16-D16)</f>
        <v/>
      </c>
      <c r="G16">
        <f>RANK(F16,$F$9:$F$17)</f>
        <v/>
      </c>
    </row>
    <row r="17">
      <c r="A17" t="inlineStr">
        <is>
          <t>팔·시스템 유지보수율</t>
        </is>
      </c>
      <c r="B17" t="inlineStr">
        <is>
          <t>8%</t>
        </is>
      </c>
      <c r="C17" t="inlineStr">
        <is>
          <t>3%</t>
        </is>
      </c>
      <c r="D17" s="13">
        <f>((((1)*('계산'!$C$18+'계산'!$C$19)+'계산'!$C$22)*(1+('가정'!$D$57))*'가정'!$D$46+'가정'!$D$58)*-1+PV('가정'!$D$83,'가정'!$D$84,-('가정'!$D$12*('가정'!$D$14)*('가정'!$D$15)*('가정'!$D$16)*('가정'!$D$9)*('계산'!$C$14)-((1)*'계산'!$C$18+'계산'!$C$22)*('가정'!$D$62)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E17" s="13">
        <f>((((1)*('계산'!$C$18+'계산'!$C$19)+'계산'!$C$22)*(1+('가정'!$D$57))*'가정'!$D$46+'가정'!$D$58)*-1+PV('가정'!$D$83,'가정'!$D$84,-('가정'!$D$12*('가정'!$D$14)*('가정'!$D$15)*('가정'!$D$16)*('가정'!$D$9)*('계산'!$C$14)-((1)*'계산'!$C$18+'계산'!$C$22)*('가정'!$D$61)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F17" s="13">
        <f>ABS(E17-D17)</f>
        <v/>
      </c>
      <c r="G17">
        <f>RANK(F17,$F$9:$F$17)</f>
        <v/>
      </c>
    </row>
    <row r="18">
      <c r="A18" t="inlineStr">
        <is>
          <t>기준(기본) NPV (백만원)</t>
        </is>
      </c>
      <c r="D18" s="13">
        <f>'계산'!$C$59/1000000</f>
        <v/>
      </c>
    </row>
    <row r="21">
      <c r="A21" s="3" t="inlineStr">
        <is>
          <t>2. 속도비 x 인건비 시나리오 - 회수 기간 (년)</t>
        </is>
      </c>
    </row>
    <row r="22" ht="30" customHeight="1">
      <c r="A22" s="2" t="inlineStr">
        <is>
          <t>기준: 가정 시트 선택 손 교체·교대. 인건비 시나리오 1=하한 2=기본 3=상한. 속도비 0.5는 기술 가능성 게이트일 뿐 ROI 성립 기준이 아니다.</t>
        </is>
      </c>
    </row>
    <row r="23">
      <c r="A23" s="29" t="inlineStr">
        <is>
          <t>속도비 \ 인건비 시나리오</t>
        </is>
      </c>
      <c r="B23" s="35" t="n">
        <v>1</v>
      </c>
      <c r="C23" s="35" t="n">
        <v>2</v>
      </c>
      <c r="D23" s="35" t="n">
        <v>3</v>
      </c>
    </row>
    <row r="24">
      <c r="A24" s="36" t="n">
        <v>0.25</v>
      </c>
      <c r="B24" s="10">
        <f>IF(('가정'!$D$12*($A24)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24)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C24" s="10">
        <f>IF(('가정'!$D$12*($A24)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24)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D24" s="10">
        <f>IF(('가정'!$D$12*($A24)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24)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</row>
    <row r="25">
      <c r="A25" s="36" t="n">
        <v>0.5</v>
      </c>
      <c r="B25" s="10">
        <f>IF(('가정'!$D$12*($A25)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25)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C25" s="10">
        <f>IF(('가정'!$D$12*($A25)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25)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D25" s="10">
        <f>IF(('가정'!$D$12*($A25)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25)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</row>
    <row r="26">
      <c r="A26" s="36" t="n">
        <v>0.75</v>
      </c>
      <c r="B26" s="10">
        <f>IF(('가정'!$D$12*($A26)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26)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C26" s="10">
        <f>IF(('가정'!$D$12*($A26)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26)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D26" s="10">
        <f>IF(('가정'!$D$12*($A26)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26)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</row>
    <row r="27">
      <c r="A27" s="36" t="n">
        <v>1</v>
      </c>
      <c r="B27" s="10">
        <f>IF(('가정'!$D$12*($A27)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27)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C27" s="10">
        <f>IF(('가정'!$D$12*($A27)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27)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D27" s="10">
        <f>IF(('가정'!$D$12*($A27)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27)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</row>
    <row r="28">
      <c r="A28" s="36" t="n">
        <v>1.25</v>
      </c>
      <c r="B28" s="10">
        <f>IF(('가정'!$D$12*($A28)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28)*('가정'!$D$15)*('가정'!$D$16)*('가정'!$D$9)*(INDEX('계산'!$C$13:$E$13,B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C28" s="10">
        <f>IF(('가정'!$D$12*($A28)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28)*('가정'!$D$15)*('가정'!$D$16)*('가정'!$D$9)*(INDEX('계산'!$C$13:$E$13,C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  <c r="D28" s="10">
        <f>IF(('가정'!$D$12*($A28)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$A28)*('가정'!$D$15)*('가정'!$D$16)*('가정'!$D$9)*(INDEX('계산'!$C$13:$E$13,D$23)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,"회수 불가")</f>
        <v/>
      </c>
    </row>
    <row r="31">
      <c r="A31" s="3" t="inlineStr">
        <is>
          <t>2b. 속도비 x 인건비 시나리오 - 5년 NPV (백만 원)</t>
        </is>
      </c>
    </row>
    <row r="32">
      <c r="A32" s="29" t="inlineStr">
        <is>
          <t>속도비 \ 인건비 시나리오</t>
        </is>
      </c>
      <c r="B32" s="35" t="n">
        <v>1</v>
      </c>
      <c r="C32" s="35" t="n">
        <v>2</v>
      </c>
      <c r="D32" s="35" t="n">
        <v>3</v>
      </c>
    </row>
    <row r="33">
      <c r="A33" s="36" t="n">
        <v>0.25</v>
      </c>
      <c r="B33" s="9">
        <f>((((1)*('계산'!$C$18+'계산'!$C$19)+'계산'!$C$22)*(1+('가정'!$D$57))*'가정'!$D$46+'가정'!$D$58)*-1+PV('가정'!$D$83,'가정'!$D$84,-('가정'!$D$12*($A33)*('가정'!$D$15)*('가정'!$D$16)*('가정'!$D$9)*(INDEX('계산'!$C$13:$E$13,B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C33" s="9">
        <f>((((1)*('계산'!$C$18+'계산'!$C$19)+'계산'!$C$22)*(1+('가정'!$D$57))*'가정'!$D$46+'가정'!$D$58)*-1+PV('가정'!$D$83,'가정'!$D$84,-('가정'!$D$12*($A33)*('가정'!$D$15)*('가정'!$D$16)*('가정'!$D$9)*(INDEX('계산'!$C$13:$E$13,C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D33" s="9">
        <f>((((1)*('계산'!$C$18+'계산'!$C$19)+'계산'!$C$22)*(1+('가정'!$D$57))*'가정'!$D$46+'가정'!$D$58)*-1+PV('가정'!$D$83,'가정'!$D$84,-('가정'!$D$12*($A33)*('가정'!$D$15)*('가정'!$D$16)*('가정'!$D$9)*(INDEX('계산'!$C$13:$E$13,D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</row>
    <row r="34">
      <c r="A34" s="36" t="n">
        <v>0.5</v>
      </c>
      <c r="B34" s="9">
        <f>((((1)*('계산'!$C$18+'계산'!$C$19)+'계산'!$C$22)*(1+('가정'!$D$57))*'가정'!$D$46+'가정'!$D$58)*-1+PV('가정'!$D$83,'가정'!$D$84,-('가정'!$D$12*($A34)*('가정'!$D$15)*('가정'!$D$16)*('가정'!$D$9)*(INDEX('계산'!$C$13:$E$13,B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C34" s="9">
        <f>((((1)*('계산'!$C$18+'계산'!$C$19)+'계산'!$C$22)*(1+('가정'!$D$57))*'가정'!$D$46+'가정'!$D$58)*-1+PV('가정'!$D$83,'가정'!$D$84,-('가정'!$D$12*($A34)*('가정'!$D$15)*('가정'!$D$16)*('가정'!$D$9)*(INDEX('계산'!$C$13:$E$13,C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D34" s="9">
        <f>((((1)*('계산'!$C$18+'계산'!$C$19)+'계산'!$C$22)*(1+('가정'!$D$57))*'가정'!$D$46+'가정'!$D$58)*-1+PV('가정'!$D$83,'가정'!$D$84,-('가정'!$D$12*($A34)*('가정'!$D$15)*('가정'!$D$16)*('가정'!$D$9)*(INDEX('계산'!$C$13:$E$13,D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</row>
    <row r="35">
      <c r="A35" s="36" t="n">
        <v>0.75</v>
      </c>
      <c r="B35" s="9">
        <f>((((1)*('계산'!$C$18+'계산'!$C$19)+'계산'!$C$22)*(1+('가정'!$D$57))*'가정'!$D$46+'가정'!$D$58)*-1+PV('가정'!$D$83,'가정'!$D$84,-('가정'!$D$12*($A35)*('가정'!$D$15)*('가정'!$D$16)*('가정'!$D$9)*(INDEX('계산'!$C$13:$E$13,B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C35" s="9">
        <f>((((1)*('계산'!$C$18+'계산'!$C$19)+'계산'!$C$22)*(1+('가정'!$D$57))*'가정'!$D$46+'가정'!$D$58)*-1+PV('가정'!$D$83,'가정'!$D$84,-('가정'!$D$12*($A35)*('가정'!$D$15)*('가정'!$D$16)*('가정'!$D$9)*(INDEX('계산'!$C$13:$E$13,C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D35" s="9">
        <f>((((1)*('계산'!$C$18+'계산'!$C$19)+'계산'!$C$22)*(1+('가정'!$D$57))*'가정'!$D$46+'가정'!$D$58)*-1+PV('가정'!$D$83,'가정'!$D$84,-('가정'!$D$12*($A35)*('가정'!$D$15)*('가정'!$D$16)*('가정'!$D$9)*(INDEX('계산'!$C$13:$E$13,D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</row>
    <row r="36">
      <c r="A36" s="36" t="n">
        <v>1</v>
      </c>
      <c r="B36" s="9">
        <f>((((1)*('계산'!$C$18+'계산'!$C$19)+'계산'!$C$22)*(1+('가정'!$D$57))*'가정'!$D$46+'가정'!$D$58)*-1+PV('가정'!$D$83,'가정'!$D$84,-('가정'!$D$12*($A36)*('가정'!$D$15)*('가정'!$D$16)*('가정'!$D$9)*(INDEX('계산'!$C$13:$E$13,B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C36" s="9">
        <f>((((1)*('계산'!$C$18+'계산'!$C$19)+'계산'!$C$22)*(1+('가정'!$D$57))*'가정'!$D$46+'가정'!$D$58)*-1+PV('가정'!$D$83,'가정'!$D$84,-('가정'!$D$12*($A36)*('가정'!$D$15)*('가정'!$D$16)*('가정'!$D$9)*(INDEX('계산'!$C$13:$E$13,C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D36" s="9">
        <f>((((1)*('계산'!$C$18+'계산'!$C$19)+'계산'!$C$22)*(1+('가정'!$D$57))*'가정'!$D$46+'가정'!$D$58)*-1+PV('가정'!$D$83,'가정'!$D$84,-('가정'!$D$12*($A36)*('가정'!$D$15)*('가정'!$D$16)*('가정'!$D$9)*(INDEX('계산'!$C$13:$E$13,D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</row>
    <row r="37">
      <c r="A37" s="36" t="n">
        <v>1.25</v>
      </c>
      <c r="B37" s="9">
        <f>((((1)*('계산'!$C$18+'계산'!$C$19)+'계산'!$C$22)*(1+('가정'!$D$57))*'가정'!$D$46+'가정'!$D$58)*-1+PV('가정'!$D$83,'가정'!$D$84,-('가정'!$D$12*($A37)*('가정'!$D$15)*('가정'!$D$16)*('가정'!$D$9)*(INDEX('계산'!$C$13:$E$13,B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C37" s="9">
        <f>((((1)*('계산'!$C$18+'계산'!$C$19)+'계산'!$C$22)*(1+('가정'!$D$57))*'가정'!$D$46+'가정'!$D$58)*-1+PV('가정'!$D$83,'가정'!$D$84,-('가정'!$D$12*($A37)*('가정'!$D$15)*('가정'!$D$16)*('가정'!$D$9)*(INDEX('계산'!$C$13:$E$13,C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  <c r="D37" s="9">
        <f>((((1)*('계산'!$C$18+'계산'!$C$19)+'계산'!$C$22)*(1+('가정'!$D$57))*'가정'!$D$46+'가정'!$D$58)*-1+PV('가정'!$D$83,'가정'!$D$84,-('가정'!$D$12*($A37)*('가정'!$D$15)*('가정'!$D$16)*('가정'!$D$9)*(INDEX('계산'!$C$13:$E$13,D$32))-((1)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(1)*'가정'!$D$46-('가정'!$D$72+'가정'!$D$73+'가정'!$D$74))))/1000000</f>
        <v/>
      </c>
    </row>
    <row r="40">
      <c r="A40" s="3" t="inlineStr">
        <is>
          <t>3a. 손 교체 f x 교체당 비용 비율 - 회수 기간 (년), 2교대</t>
        </is>
      </c>
    </row>
    <row r="41" ht="30" customHeight="1">
      <c r="A41" s="2" t="inlineStr">
        <is>
          <t>N(셀 합계 연 교체 횟수) = 손 개수 x f. 인건비·속도비는 선택 시나리오. Q7 표 6-2a와 같은 틀(Q7은 구 인건비 4,700만 원 기준이라 값이 다름. 구 가정 재현은 검산 시트).</t>
        </is>
      </c>
    </row>
    <row r="42">
      <c r="A42" s="29" t="inlineStr">
        <is>
          <t>f (손 1개당 연 교체) \ 교체당 비용 비율</t>
        </is>
      </c>
      <c r="B42" s="37" t="n">
        <v>0.1</v>
      </c>
      <c r="C42" s="37" t="n">
        <v>0.2</v>
      </c>
      <c r="D42" s="37" t="n">
        <v>0.3</v>
      </c>
      <c r="E42" s="37" t="n">
        <v>1</v>
      </c>
    </row>
    <row r="43">
      <c r="A43" s="38" t="n">
        <v>0</v>
      </c>
      <c r="B43" s="10">
        <f>IF(('가정'!$D$12*('가정'!$D$14)*('가정'!$D$15)*('가정'!$D$16)*(2)*('계산'!$C$14)-((1)*'계산'!$C$18+'계산'!$C$22)*('가정'!$D$60)*'가정'!$D$46-'가정'!$D$50*($A43)*(2)/'가정'!$D$63*(B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43)*(2)/'가정'!$D$63*(B$42)*'가정'!$D$49*(1)*'가정'!$D$46-('가정'!$D$72+'가정'!$D$73+'가정'!$D$74)),"회수 불가")</f>
        <v/>
      </c>
      <c r="C43" s="10">
        <f>IF(('가정'!$D$12*('가정'!$D$14)*('가정'!$D$15)*('가정'!$D$16)*(2)*('계산'!$C$14)-((1)*'계산'!$C$18+'계산'!$C$22)*('가정'!$D$60)*'가정'!$D$46-'가정'!$D$50*($A43)*(2)/'가정'!$D$63*(C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43)*(2)/'가정'!$D$63*(C$42)*'가정'!$D$49*(1)*'가정'!$D$46-('가정'!$D$72+'가정'!$D$73+'가정'!$D$74)),"회수 불가")</f>
        <v/>
      </c>
      <c r="D43" s="10">
        <f>IF(('가정'!$D$12*('가정'!$D$14)*('가정'!$D$15)*('가정'!$D$16)*(2)*('계산'!$C$14)-((1)*'계산'!$C$18+'계산'!$C$22)*('가정'!$D$60)*'가정'!$D$46-'가정'!$D$50*($A43)*(2)/'가정'!$D$63*(D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43)*(2)/'가정'!$D$63*(D$42)*'가정'!$D$49*(1)*'가정'!$D$46-('가정'!$D$72+'가정'!$D$73+'가정'!$D$74)),"회수 불가")</f>
        <v/>
      </c>
      <c r="E43" s="10">
        <f>IF(('가정'!$D$12*('가정'!$D$14)*('가정'!$D$15)*('가정'!$D$16)*(2)*('계산'!$C$14)-((1)*'계산'!$C$18+'계산'!$C$22)*('가정'!$D$60)*'가정'!$D$46-'가정'!$D$50*($A43)*(2)/'가정'!$D$63*(E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43)*(2)/'가정'!$D$63*(E$42)*'가정'!$D$49*(1)*'가정'!$D$46-('가정'!$D$72+'가정'!$D$73+'가정'!$D$74)),"회수 불가")</f>
        <v/>
      </c>
    </row>
    <row r="44">
      <c r="A44" s="38" t="n">
        <v>0.5</v>
      </c>
      <c r="B44" s="10">
        <f>IF(('가정'!$D$12*('가정'!$D$14)*('가정'!$D$15)*('가정'!$D$16)*(2)*('계산'!$C$14)-((1)*'계산'!$C$18+'계산'!$C$22)*('가정'!$D$60)*'가정'!$D$46-'가정'!$D$50*($A44)*(2)/'가정'!$D$63*(B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44)*(2)/'가정'!$D$63*(B$42)*'가정'!$D$49*(1)*'가정'!$D$46-('가정'!$D$72+'가정'!$D$73+'가정'!$D$74)),"회수 불가")</f>
        <v/>
      </c>
      <c r="C44" s="10">
        <f>IF(('가정'!$D$12*('가정'!$D$14)*('가정'!$D$15)*('가정'!$D$16)*(2)*('계산'!$C$14)-((1)*'계산'!$C$18+'계산'!$C$22)*('가정'!$D$60)*'가정'!$D$46-'가정'!$D$50*($A44)*(2)/'가정'!$D$63*(C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44)*(2)/'가정'!$D$63*(C$42)*'가정'!$D$49*(1)*'가정'!$D$46-('가정'!$D$72+'가정'!$D$73+'가정'!$D$74)),"회수 불가")</f>
        <v/>
      </c>
      <c r="D44" s="10">
        <f>IF(('가정'!$D$12*('가정'!$D$14)*('가정'!$D$15)*('가정'!$D$16)*(2)*('계산'!$C$14)-((1)*'계산'!$C$18+'계산'!$C$22)*('가정'!$D$60)*'가정'!$D$46-'가정'!$D$50*($A44)*(2)/'가정'!$D$63*(D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44)*(2)/'가정'!$D$63*(D$42)*'가정'!$D$49*(1)*'가정'!$D$46-('가정'!$D$72+'가정'!$D$73+'가정'!$D$74)),"회수 불가")</f>
        <v/>
      </c>
      <c r="E44" s="10">
        <f>IF(('가정'!$D$12*('가정'!$D$14)*('가정'!$D$15)*('가정'!$D$16)*(2)*('계산'!$C$14)-((1)*'계산'!$C$18+'계산'!$C$22)*('가정'!$D$60)*'가정'!$D$46-'가정'!$D$50*($A44)*(2)/'가정'!$D$63*(E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44)*(2)/'가정'!$D$63*(E$42)*'가정'!$D$49*(1)*'가정'!$D$46-('가정'!$D$72+'가정'!$D$73+'가정'!$D$74)),"회수 불가")</f>
        <v/>
      </c>
    </row>
    <row r="45">
      <c r="A45" s="38" t="n">
        <v>1</v>
      </c>
      <c r="B45" s="10">
        <f>IF(('가정'!$D$12*('가정'!$D$14)*('가정'!$D$15)*('가정'!$D$16)*(2)*('계산'!$C$14)-((1)*'계산'!$C$18+'계산'!$C$22)*('가정'!$D$60)*'가정'!$D$46-'가정'!$D$50*($A45)*(2)/'가정'!$D$63*(B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45)*(2)/'가정'!$D$63*(B$42)*'가정'!$D$49*(1)*'가정'!$D$46-('가정'!$D$72+'가정'!$D$73+'가정'!$D$74)),"회수 불가")</f>
        <v/>
      </c>
      <c r="C45" s="10">
        <f>IF(('가정'!$D$12*('가정'!$D$14)*('가정'!$D$15)*('가정'!$D$16)*(2)*('계산'!$C$14)-((1)*'계산'!$C$18+'계산'!$C$22)*('가정'!$D$60)*'가정'!$D$46-'가정'!$D$50*($A45)*(2)/'가정'!$D$63*(C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45)*(2)/'가정'!$D$63*(C$42)*'가정'!$D$49*(1)*'가정'!$D$46-('가정'!$D$72+'가정'!$D$73+'가정'!$D$74)),"회수 불가")</f>
        <v/>
      </c>
      <c r="D45" s="10">
        <f>IF(('가정'!$D$12*('가정'!$D$14)*('가정'!$D$15)*('가정'!$D$16)*(2)*('계산'!$C$14)-((1)*'계산'!$C$18+'계산'!$C$22)*('가정'!$D$60)*'가정'!$D$46-'가정'!$D$50*($A45)*(2)/'가정'!$D$63*(D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45)*(2)/'가정'!$D$63*(D$42)*'가정'!$D$49*(1)*'가정'!$D$46-('가정'!$D$72+'가정'!$D$73+'가정'!$D$74)),"회수 불가")</f>
        <v/>
      </c>
      <c r="E45" s="10">
        <f>IF(('가정'!$D$12*('가정'!$D$14)*('가정'!$D$15)*('가정'!$D$16)*(2)*('계산'!$C$14)-((1)*'계산'!$C$18+'계산'!$C$22)*('가정'!$D$60)*'가정'!$D$46-'가정'!$D$50*($A45)*(2)/'가정'!$D$63*(E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45)*(2)/'가정'!$D$63*(E$42)*'가정'!$D$49*(1)*'가정'!$D$46-('가정'!$D$72+'가정'!$D$73+'가정'!$D$74)),"회수 불가")</f>
        <v/>
      </c>
    </row>
    <row r="46">
      <c r="A46" s="38" t="n">
        <v>2</v>
      </c>
      <c r="B46" s="10">
        <f>IF(('가정'!$D$12*('가정'!$D$14)*('가정'!$D$15)*('가정'!$D$16)*(2)*('계산'!$C$14)-((1)*'계산'!$C$18+'계산'!$C$22)*('가정'!$D$60)*'가정'!$D$46-'가정'!$D$50*($A46)*(2)/'가정'!$D$63*(B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46)*(2)/'가정'!$D$63*(B$42)*'가정'!$D$49*(1)*'가정'!$D$46-('가정'!$D$72+'가정'!$D$73+'가정'!$D$74)),"회수 불가")</f>
        <v/>
      </c>
      <c r="C46" s="10">
        <f>IF(('가정'!$D$12*('가정'!$D$14)*('가정'!$D$15)*('가정'!$D$16)*(2)*('계산'!$C$14)-((1)*'계산'!$C$18+'계산'!$C$22)*('가정'!$D$60)*'가정'!$D$46-'가정'!$D$50*($A46)*(2)/'가정'!$D$63*(C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46)*(2)/'가정'!$D$63*(C$42)*'가정'!$D$49*(1)*'가정'!$D$46-('가정'!$D$72+'가정'!$D$73+'가정'!$D$74)),"회수 불가")</f>
        <v/>
      </c>
      <c r="D46" s="10">
        <f>IF(('가정'!$D$12*('가정'!$D$14)*('가정'!$D$15)*('가정'!$D$16)*(2)*('계산'!$C$14)-((1)*'계산'!$C$18+'계산'!$C$22)*('가정'!$D$60)*'가정'!$D$46-'가정'!$D$50*($A46)*(2)/'가정'!$D$63*(D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46)*(2)/'가정'!$D$63*(D$42)*'가정'!$D$49*(1)*'가정'!$D$46-('가정'!$D$72+'가정'!$D$73+'가정'!$D$74)),"회수 불가")</f>
        <v/>
      </c>
      <c r="E46" s="10">
        <f>IF(('가정'!$D$12*('가정'!$D$14)*('가정'!$D$15)*('가정'!$D$16)*(2)*('계산'!$C$14)-((1)*'계산'!$C$18+'계산'!$C$22)*('가정'!$D$60)*'가정'!$D$46-'가정'!$D$50*($A46)*(2)/'가정'!$D$63*(E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46)*(2)/'가정'!$D$63*(E$42)*'가정'!$D$49*(1)*'가정'!$D$46-('가정'!$D$72+'가정'!$D$73+'가정'!$D$74)),"회수 불가")</f>
        <v/>
      </c>
    </row>
    <row r="47">
      <c r="A47" s="38" t="n">
        <v>3</v>
      </c>
      <c r="B47" s="10">
        <f>IF(('가정'!$D$12*('가정'!$D$14)*('가정'!$D$15)*('가정'!$D$16)*(2)*('계산'!$C$14)-((1)*'계산'!$C$18+'계산'!$C$22)*('가정'!$D$60)*'가정'!$D$46-'가정'!$D$50*($A47)*(2)/'가정'!$D$63*(B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47)*(2)/'가정'!$D$63*(B$42)*'가정'!$D$49*(1)*'가정'!$D$46-('가정'!$D$72+'가정'!$D$73+'가정'!$D$74)),"회수 불가")</f>
        <v/>
      </c>
      <c r="C47" s="10">
        <f>IF(('가정'!$D$12*('가정'!$D$14)*('가정'!$D$15)*('가정'!$D$16)*(2)*('계산'!$C$14)-((1)*'계산'!$C$18+'계산'!$C$22)*('가정'!$D$60)*'가정'!$D$46-'가정'!$D$50*($A47)*(2)/'가정'!$D$63*(C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47)*(2)/'가정'!$D$63*(C$42)*'가정'!$D$49*(1)*'가정'!$D$46-('가정'!$D$72+'가정'!$D$73+'가정'!$D$74)),"회수 불가")</f>
        <v/>
      </c>
      <c r="D47" s="10">
        <f>IF(('가정'!$D$12*('가정'!$D$14)*('가정'!$D$15)*('가정'!$D$16)*(2)*('계산'!$C$14)-((1)*'계산'!$C$18+'계산'!$C$22)*('가정'!$D$60)*'가정'!$D$46-'가정'!$D$50*($A47)*(2)/'가정'!$D$63*(D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47)*(2)/'가정'!$D$63*(D$42)*'가정'!$D$49*(1)*'가정'!$D$46-('가정'!$D$72+'가정'!$D$73+'가정'!$D$74)),"회수 불가")</f>
        <v/>
      </c>
      <c r="E47" s="10">
        <f>IF(('가정'!$D$12*('가정'!$D$14)*('가정'!$D$15)*('가정'!$D$16)*(2)*('계산'!$C$14)-((1)*'계산'!$C$18+'계산'!$C$22)*('가정'!$D$60)*'가정'!$D$46-'가정'!$D$50*($A47)*(2)/'가정'!$D$63*(E$42)*'가정'!$D$49*(1)*'가정'!$D$46-('가정'!$D$72+'가정'!$D$73+'가정'!$D$74))&gt;0,(((1)*('계산'!$C$18+'계산'!$C$19)+'계산'!$C$22)*(1+('가정'!$D$57))*'가정'!$D$46+'가정'!$D$58)/('가정'!$D$12*('가정'!$D$14)*('가정'!$D$15)*('가정'!$D$16)*(2)*('계산'!$C$14)-((1)*'계산'!$C$18+'계산'!$C$22)*('가정'!$D$60)*'가정'!$D$46-'가정'!$D$50*($A47)*(2)/'가정'!$D$63*(E$42)*'가정'!$D$49*(1)*'가정'!$D$46-('가정'!$D$72+'가정'!$D$73+'가정'!$D$74)),"회수 불가")</f>
        <v/>
      </c>
    </row>
    <row r="50">
      <c r="A50" s="3" t="inlineStr">
        <is>
          <t>3b. 손 교체 f x 교체당 비용 비율 - 회수 기간 (년), 3교대 (손 가동 1.5배, 실질 N x 1.5)</t>
        </is>
      </c>
    </row>
    <row r="51">
      <c r="A51" s="29" t="inlineStr">
        <is>
          <t>f (2교대 기준) \ 교체당 비용 비율</t>
        </is>
      </c>
      <c r="B51" s="37" t="n">
        <v>0.1</v>
      </c>
      <c r="C51" s="37" t="n">
        <v>0.2</v>
      </c>
      <c r="D51" s="37" t="n">
        <v>0.3</v>
      </c>
      <c r="E51" s="37" t="n">
        <v>1</v>
      </c>
    </row>
    <row r="52">
      <c r="A52" s="38" t="n">
        <v>0</v>
      </c>
      <c r="B52" s="10">
        <f>IF(('가정'!$D$12*('가정'!$D$14)*('가정'!$D$15)*('가정'!$D$16)*(3)*('계산'!$C$14)-((1)*'계산'!$C$18+'계산'!$C$22)*('가정'!$D$60)*'가정'!$D$46-'가정'!$D$50*($A52)*(3)/'가정'!$D$63*(B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52)*(3)/'가정'!$D$63*(B$51)*'가정'!$D$49*(1)*'가정'!$D$46-('가정'!$D$72+'가정'!$D$73+'가정'!$D$74)),"회수 불가")</f>
        <v/>
      </c>
      <c r="C52" s="10">
        <f>IF(('가정'!$D$12*('가정'!$D$14)*('가정'!$D$15)*('가정'!$D$16)*(3)*('계산'!$C$14)-((1)*'계산'!$C$18+'계산'!$C$22)*('가정'!$D$60)*'가정'!$D$46-'가정'!$D$50*($A52)*(3)/'가정'!$D$63*(C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52)*(3)/'가정'!$D$63*(C$51)*'가정'!$D$49*(1)*'가정'!$D$46-('가정'!$D$72+'가정'!$D$73+'가정'!$D$74)),"회수 불가")</f>
        <v/>
      </c>
      <c r="D52" s="10">
        <f>IF(('가정'!$D$12*('가정'!$D$14)*('가정'!$D$15)*('가정'!$D$16)*(3)*('계산'!$C$14)-((1)*'계산'!$C$18+'계산'!$C$22)*('가정'!$D$60)*'가정'!$D$46-'가정'!$D$50*($A52)*(3)/'가정'!$D$63*(D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52)*(3)/'가정'!$D$63*(D$51)*'가정'!$D$49*(1)*'가정'!$D$46-('가정'!$D$72+'가정'!$D$73+'가정'!$D$74)),"회수 불가")</f>
        <v/>
      </c>
      <c r="E52" s="10">
        <f>IF(('가정'!$D$12*('가정'!$D$14)*('가정'!$D$15)*('가정'!$D$16)*(3)*('계산'!$C$14)-((1)*'계산'!$C$18+'계산'!$C$22)*('가정'!$D$60)*'가정'!$D$46-'가정'!$D$50*($A52)*(3)/'가정'!$D$63*(E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52)*(3)/'가정'!$D$63*(E$51)*'가정'!$D$49*(1)*'가정'!$D$46-('가정'!$D$72+'가정'!$D$73+'가정'!$D$74)),"회수 불가")</f>
        <v/>
      </c>
    </row>
    <row r="53">
      <c r="A53" s="38" t="n">
        <v>0.5</v>
      </c>
      <c r="B53" s="10">
        <f>IF(('가정'!$D$12*('가정'!$D$14)*('가정'!$D$15)*('가정'!$D$16)*(3)*('계산'!$C$14)-((1)*'계산'!$C$18+'계산'!$C$22)*('가정'!$D$60)*'가정'!$D$46-'가정'!$D$50*($A53)*(3)/'가정'!$D$63*(B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53)*(3)/'가정'!$D$63*(B$51)*'가정'!$D$49*(1)*'가정'!$D$46-('가정'!$D$72+'가정'!$D$73+'가정'!$D$74)),"회수 불가")</f>
        <v/>
      </c>
      <c r="C53" s="10">
        <f>IF(('가정'!$D$12*('가정'!$D$14)*('가정'!$D$15)*('가정'!$D$16)*(3)*('계산'!$C$14)-((1)*'계산'!$C$18+'계산'!$C$22)*('가정'!$D$60)*'가정'!$D$46-'가정'!$D$50*($A53)*(3)/'가정'!$D$63*(C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53)*(3)/'가정'!$D$63*(C$51)*'가정'!$D$49*(1)*'가정'!$D$46-('가정'!$D$72+'가정'!$D$73+'가정'!$D$74)),"회수 불가")</f>
        <v/>
      </c>
      <c r="D53" s="10">
        <f>IF(('가정'!$D$12*('가정'!$D$14)*('가정'!$D$15)*('가정'!$D$16)*(3)*('계산'!$C$14)-((1)*'계산'!$C$18+'계산'!$C$22)*('가정'!$D$60)*'가정'!$D$46-'가정'!$D$50*($A53)*(3)/'가정'!$D$63*(D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53)*(3)/'가정'!$D$63*(D$51)*'가정'!$D$49*(1)*'가정'!$D$46-('가정'!$D$72+'가정'!$D$73+'가정'!$D$74)),"회수 불가")</f>
        <v/>
      </c>
      <c r="E53" s="10">
        <f>IF(('가정'!$D$12*('가정'!$D$14)*('가정'!$D$15)*('가정'!$D$16)*(3)*('계산'!$C$14)-((1)*'계산'!$C$18+'계산'!$C$22)*('가정'!$D$60)*'가정'!$D$46-'가정'!$D$50*($A53)*(3)/'가정'!$D$63*(E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53)*(3)/'가정'!$D$63*(E$51)*'가정'!$D$49*(1)*'가정'!$D$46-('가정'!$D$72+'가정'!$D$73+'가정'!$D$74)),"회수 불가")</f>
        <v/>
      </c>
    </row>
    <row r="54">
      <c r="A54" s="38" t="n">
        <v>1</v>
      </c>
      <c r="B54" s="10">
        <f>IF(('가정'!$D$12*('가정'!$D$14)*('가정'!$D$15)*('가정'!$D$16)*(3)*('계산'!$C$14)-((1)*'계산'!$C$18+'계산'!$C$22)*('가정'!$D$60)*'가정'!$D$46-'가정'!$D$50*($A54)*(3)/'가정'!$D$63*(B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54)*(3)/'가정'!$D$63*(B$51)*'가정'!$D$49*(1)*'가정'!$D$46-('가정'!$D$72+'가정'!$D$73+'가정'!$D$74)),"회수 불가")</f>
        <v/>
      </c>
      <c r="C54" s="10">
        <f>IF(('가정'!$D$12*('가정'!$D$14)*('가정'!$D$15)*('가정'!$D$16)*(3)*('계산'!$C$14)-((1)*'계산'!$C$18+'계산'!$C$22)*('가정'!$D$60)*'가정'!$D$46-'가정'!$D$50*($A54)*(3)/'가정'!$D$63*(C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54)*(3)/'가정'!$D$63*(C$51)*'가정'!$D$49*(1)*'가정'!$D$46-('가정'!$D$72+'가정'!$D$73+'가정'!$D$74)),"회수 불가")</f>
        <v/>
      </c>
      <c r="D54" s="10">
        <f>IF(('가정'!$D$12*('가정'!$D$14)*('가정'!$D$15)*('가정'!$D$16)*(3)*('계산'!$C$14)-((1)*'계산'!$C$18+'계산'!$C$22)*('가정'!$D$60)*'가정'!$D$46-'가정'!$D$50*($A54)*(3)/'가정'!$D$63*(D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54)*(3)/'가정'!$D$63*(D$51)*'가정'!$D$49*(1)*'가정'!$D$46-('가정'!$D$72+'가정'!$D$73+'가정'!$D$74)),"회수 불가")</f>
        <v/>
      </c>
      <c r="E54" s="10">
        <f>IF(('가정'!$D$12*('가정'!$D$14)*('가정'!$D$15)*('가정'!$D$16)*(3)*('계산'!$C$14)-((1)*'계산'!$C$18+'계산'!$C$22)*('가정'!$D$60)*'가정'!$D$46-'가정'!$D$50*($A54)*(3)/'가정'!$D$63*(E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54)*(3)/'가정'!$D$63*(E$51)*'가정'!$D$49*(1)*'가정'!$D$46-('가정'!$D$72+'가정'!$D$73+'가정'!$D$74)),"회수 불가")</f>
        <v/>
      </c>
    </row>
    <row r="55">
      <c r="A55" s="38" t="n">
        <v>2</v>
      </c>
      <c r="B55" s="10">
        <f>IF(('가정'!$D$12*('가정'!$D$14)*('가정'!$D$15)*('가정'!$D$16)*(3)*('계산'!$C$14)-((1)*'계산'!$C$18+'계산'!$C$22)*('가정'!$D$60)*'가정'!$D$46-'가정'!$D$50*($A55)*(3)/'가정'!$D$63*(B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55)*(3)/'가정'!$D$63*(B$51)*'가정'!$D$49*(1)*'가정'!$D$46-('가정'!$D$72+'가정'!$D$73+'가정'!$D$74)),"회수 불가")</f>
        <v/>
      </c>
      <c r="C55" s="10">
        <f>IF(('가정'!$D$12*('가정'!$D$14)*('가정'!$D$15)*('가정'!$D$16)*(3)*('계산'!$C$14)-((1)*'계산'!$C$18+'계산'!$C$22)*('가정'!$D$60)*'가정'!$D$46-'가정'!$D$50*($A55)*(3)/'가정'!$D$63*(C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55)*(3)/'가정'!$D$63*(C$51)*'가정'!$D$49*(1)*'가정'!$D$46-('가정'!$D$72+'가정'!$D$73+'가정'!$D$74)),"회수 불가")</f>
        <v/>
      </c>
      <c r="D55" s="10">
        <f>IF(('가정'!$D$12*('가정'!$D$14)*('가정'!$D$15)*('가정'!$D$16)*(3)*('계산'!$C$14)-((1)*'계산'!$C$18+'계산'!$C$22)*('가정'!$D$60)*'가정'!$D$46-'가정'!$D$50*($A55)*(3)/'가정'!$D$63*(D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55)*(3)/'가정'!$D$63*(D$51)*'가정'!$D$49*(1)*'가정'!$D$46-('가정'!$D$72+'가정'!$D$73+'가정'!$D$74)),"회수 불가")</f>
        <v/>
      </c>
      <c r="E55" s="10">
        <f>IF(('가정'!$D$12*('가정'!$D$14)*('가정'!$D$15)*('가정'!$D$16)*(3)*('계산'!$C$14)-((1)*'계산'!$C$18+'계산'!$C$22)*('가정'!$D$60)*'가정'!$D$46-'가정'!$D$50*($A55)*(3)/'가정'!$D$63*(E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55)*(3)/'가정'!$D$63*(E$51)*'가정'!$D$49*(1)*'가정'!$D$46-('가정'!$D$72+'가정'!$D$73+'가정'!$D$74)),"회수 불가")</f>
        <v/>
      </c>
    </row>
    <row r="56">
      <c r="A56" s="38" t="n">
        <v>3</v>
      </c>
      <c r="B56" s="10">
        <f>IF(('가정'!$D$12*('가정'!$D$14)*('가정'!$D$15)*('가정'!$D$16)*(3)*('계산'!$C$14)-((1)*'계산'!$C$18+'계산'!$C$22)*('가정'!$D$60)*'가정'!$D$46-'가정'!$D$50*($A56)*(3)/'가정'!$D$63*(B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56)*(3)/'가정'!$D$63*(B$51)*'가정'!$D$49*(1)*'가정'!$D$46-('가정'!$D$72+'가정'!$D$73+'가정'!$D$74)),"회수 불가")</f>
        <v/>
      </c>
      <c r="C56" s="10">
        <f>IF(('가정'!$D$12*('가정'!$D$14)*('가정'!$D$15)*('가정'!$D$16)*(3)*('계산'!$C$14)-((1)*'계산'!$C$18+'계산'!$C$22)*('가정'!$D$60)*'가정'!$D$46-'가정'!$D$50*($A56)*(3)/'가정'!$D$63*(C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56)*(3)/'가정'!$D$63*(C$51)*'가정'!$D$49*(1)*'가정'!$D$46-('가정'!$D$72+'가정'!$D$73+'가정'!$D$74)),"회수 불가")</f>
        <v/>
      </c>
      <c r="D56" s="10">
        <f>IF(('가정'!$D$12*('가정'!$D$14)*('가정'!$D$15)*('가정'!$D$16)*(3)*('계산'!$C$14)-((1)*'계산'!$C$18+'계산'!$C$22)*('가정'!$D$60)*'가정'!$D$46-'가정'!$D$50*($A56)*(3)/'가정'!$D$63*(D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56)*(3)/'가정'!$D$63*(D$51)*'가정'!$D$49*(1)*'가정'!$D$46-('가정'!$D$72+'가정'!$D$73+'가정'!$D$74)),"회수 불가")</f>
        <v/>
      </c>
      <c r="E56" s="10">
        <f>IF(('가정'!$D$12*('가정'!$D$14)*('가정'!$D$15)*('가정'!$D$16)*(3)*('계산'!$C$14)-((1)*'계산'!$C$18+'계산'!$C$22)*('가정'!$D$60)*'가정'!$D$46-'가정'!$D$50*($A56)*(3)/'가정'!$D$63*(E$51)*'가정'!$D$49*(1)*'가정'!$D$46-('가정'!$D$72+'가정'!$D$73+'가정'!$D$74))&gt;0,(((1)*('계산'!$C$18+'계산'!$C$19)+'계산'!$C$22)*(1+('가정'!$D$57))*'가정'!$D$46+'가정'!$D$58)/('가정'!$D$12*('가정'!$D$14)*('가정'!$D$15)*('가정'!$D$16)*(3)*('계산'!$C$14)-((1)*'계산'!$C$18+'계산'!$C$22)*('가정'!$D$60)*'가정'!$D$46-'가정'!$D$50*($A56)*(3)/'가정'!$D$63*(E$51)*'가정'!$D$49*(1)*'가정'!$D$46-('가정'!$D$72+'가정'!$D$73+'가정'!$D$74)),"회수 불가")</f>
        <v/>
      </c>
    </row>
    <row r="59">
      <c r="A59" s="3" t="inlineStr">
        <is>
          <t>4. 교대 수 x 속도비 - 회수 기간 (년)</t>
        </is>
      </c>
    </row>
    <row r="60" ht="30" customHeight="1">
      <c r="A60" s="2" t="inlineStr">
        <is>
          <t>기준: 선택 인건비, 선택 손 교체 시나리오(교대에 따라 f 자동 x 교대/2).</t>
        </is>
      </c>
    </row>
    <row r="61">
      <c r="A61" s="29" t="inlineStr">
        <is>
          <t>교대 수 \ 속도비</t>
        </is>
      </c>
      <c r="B61" s="36" t="n">
        <v>0.25</v>
      </c>
      <c r="C61" s="36" t="n">
        <v>0.5</v>
      </c>
      <c r="D61" s="36" t="n">
        <v>0.75</v>
      </c>
      <c r="E61" s="36" t="n">
        <v>1</v>
      </c>
    </row>
    <row r="62">
      <c r="A62" s="35" t="n">
        <v>2</v>
      </c>
      <c r="B62" s="10">
        <f>IF(('가정'!$D$12*(B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B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,"회수 불가")</f>
        <v/>
      </c>
      <c r="C62" s="10">
        <f>IF(('가정'!$D$12*(C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C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,"회수 불가")</f>
        <v/>
      </c>
      <c r="D62" s="10">
        <f>IF(('가정'!$D$12*(D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D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,"회수 불가")</f>
        <v/>
      </c>
      <c r="E62" s="10">
        <f>IF(('가정'!$D$12*(E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E$61)*('가정'!$D$15)*('가정'!$D$16)*($A62)*('계산'!$C$14)-((1)*'계산'!$C$18+'계산'!$C$22)*('가정'!$D$60)*'가정'!$D$46-'가정'!$D$50*(CHOOSE('가정'!$D$7,'가정'!$D$64,'가정'!$D$66,'가정'!$D$68,'가정'!$D$70))*($A62)/'가정'!$D$63*(CHOOSE('가정'!$D$7,'가정'!$D$65,'가정'!$D$67,'가정'!$D$69,'가정'!$D$71))*'가정'!$D$49*(1)*'가정'!$D$46-('가정'!$D$72+'가정'!$D$73+'가정'!$D$74)),"회수 불가")</f>
        <v/>
      </c>
    </row>
    <row r="63">
      <c r="A63" s="35" t="n">
        <v>3</v>
      </c>
      <c r="B63" s="10">
        <f>IF(('가정'!$D$12*(B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B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,"회수 불가")</f>
        <v/>
      </c>
      <c r="C63" s="10">
        <f>IF(('가정'!$D$12*(C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C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,"회수 불가")</f>
        <v/>
      </c>
      <c r="D63" s="10">
        <f>IF(('가정'!$D$12*(D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D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,"회수 불가")</f>
        <v/>
      </c>
      <c r="E63" s="10">
        <f>IF(('가정'!$D$12*(E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E$61)*('가정'!$D$15)*('가정'!$D$16)*($A63)*('계산'!$C$14)-((1)*'계산'!$C$18+'계산'!$C$22)*('가정'!$D$60)*'가정'!$D$46-'가정'!$D$50*(CHOOSE('가정'!$D$7,'가정'!$D$64,'가정'!$D$66,'가정'!$D$68,'가정'!$D$70))*($A63)/'가정'!$D$63*(CHOOSE('가정'!$D$7,'가정'!$D$65,'가정'!$D$67,'가정'!$D$69,'가정'!$D$71))*'가정'!$D$49*(1)*'가정'!$D$46-('가정'!$D$72+'가정'!$D$73+'가정'!$D$74)),"회수 불가")</f>
        <v/>
      </c>
    </row>
    <row r="66">
      <c r="A66" s="3" t="inlineStr">
        <is>
          <t>5. 교대 수 x 손 교체 시나리오 - 회수 기간 (년)</t>
        </is>
      </c>
    </row>
    <row r="67" ht="30" customHeight="1">
      <c r="A67" s="2" t="inlineStr">
        <is>
          <t>손 교체 시나리오 1=낙관(f1·20%) 2=기본(f2·20%) 3=보수(f2·100%) 4=교체 없음(참고).</t>
        </is>
      </c>
    </row>
    <row r="68">
      <c r="A68" s="29" t="inlineStr">
        <is>
          <t>교대 수 \ 손 교체 시나리오</t>
        </is>
      </c>
      <c r="B68" s="35" t="n">
        <v>1</v>
      </c>
      <c r="C68" s="35" t="n">
        <v>2</v>
      </c>
      <c r="D68" s="35" t="n">
        <v>3</v>
      </c>
      <c r="E68" s="35" t="n">
        <v>4</v>
      </c>
    </row>
    <row r="69">
      <c r="A69" s="35" t="n">
        <v>2</v>
      </c>
      <c r="B69" s="10">
        <f>IF(('가정'!$D$12*('가정'!$D$14)*('가정'!$D$15)*('가정'!$D$16)*($A69)*('계산'!$C$14)-((1)*'계산'!$C$18+'계산'!$C$22)*('가정'!$D$60)*'가정'!$D$46-'가정'!$D$50*(CHOOSE(B$68,'가정'!$D$64,'가정'!$D$66,'가정'!$D$68,'가정'!$D$70))*($A69)/'가정'!$D$63*(CHOOSE(B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69)*('계산'!$C$14)-((1)*'계산'!$C$18+'계산'!$C$22)*('가정'!$D$60)*'가정'!$D$46-'가정'!$D$50*(CHOOSE(B$68,'가정'!$D$64,'가정'!$D$66,'가정'!$D$68,'가정'!$D$70))*($A69)/'가정'!$D$63*(CHOOSE(B$68,'가정'!$D$65,'가정'!$D$67,'가정'!$D$69,'가정'!$D$71))*'가정'!$D$49*(1)*'가정'!$D$46-('가정'!$D$72+'가정'!$D$73+'가정'!$D$74)),"회수 불가")</f>
        <v/>
      </c>
      <c r="C69" s="10">
        <f>IF(('가정'!$D$12*('가정'!$D$14)*('가정'!$D$15)*('가정'!$D$16)*($A69)*('계산'!$C$14)-((1)*'계산'!$C$18+'계산'!$C$22)*('가정'!$D$60)*'가정'!$D$46-'가정'!$D$50*(CHOOSE(C$68,'가정'!$D$64,'가정'!$D$66,'가정'!$D$68,'가정'!$D$70))*($A69)/'가정'!$D$63*(CHOOSE(C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69)*('계산'!$C$14)-((1)*'계산'!$C$18+'계산'!$C$22)*('가정'!$D$60)*'가정'!$D$46-'가정'!$D$50*(CHOOSE(C$68,'가정'!$D$64,'가정'!$D$66,'가정'!$D$68,'가정'!$D$70))*($A69)/'가정'!$D$63*(CHOOSE(C$68,'가정'!$D$65,'가정'!$D$67,'가정'!$D$69,'가정'!$D$71))*'가정'!$D$49*(1)*'가정'!$D$46-('가정'!$D$72+'가정'!$D$73+'가정'!$D$74)),"회수 불가")</f>
        <v/>
      </c>
      <c r="D69" s="10">
        <f>IF(('가정'!$D$12*('가정'!$D$14)*('가정'!$D$15)*('가정'!$D$16)*($A69)*('계산'!$C$14)-((1)*'계산'!$C$18+'계산'!$C$22)*('가정'!$D$60)*'가정'!$D$46-'가정'!$D$50*(CHOOSE(D$68,'가정'!$D$64,'가정'!$D$66,'가정'!$D$68,'가정'!$D$70))*($A69)/'가정'!$D$63*(CHOOSE(D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69)*('계산'!$C$14)-((1)*'계산'!$C$18+'계산'!$C$22)*('가정'!$D$60)*'가정'!$D$46-'가정'!$D$50*(CHOOSE(D$68,'가정'!$D$64,'가정'!$D$66,'가정'!$D$68,'가정'!$D$70))*($A69)/'가정'!$D$63*(CHOOSE(D$68,'가정'!$D$65,'가정'!$D$67,'가정'!$D$69,'가정'!$D$71))*'가정'!$D$49*(1)*'가정'!$D$46-('가정'!$D$72+'가정'!$D$73+'가정'!$D$74)),"회수 불가")</f>
        <v/>
      </c>
      <c r="E69" s="10">
        <f>IF(('가정'!$D$12*('가정'!$D$14)*('가정'!$D$15)*('가정'!$D$16)*($A69)*('계산'!$C$14)-((1)*'계산'!$C$18+'계산'!$C$22)*('가정'!$D$60)*'가정'!$D$46-'가정'!$D$50*(CHOOSE(E$68,'가정'!$D$64,'가정'!$D$66,'가정'!$D$68,'가정'!$D$70))*($A69)/'가정'!$D$63*(CHOOSE(E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69)*('계산'!$C$14)-((1)*'계산'!$C$18+'계산'!$C$22)*('가정'!$D$60)*'가정'!$D$46-'가정'!$D$50*(CHOOSE(E$68,'가정'!$D$64,'가정'!$D$66,'가정'!$D$68,'가정'!$D$70))*($A69)/'가정'!$D$63*(CHOOSE(E$68,'가정'!$D$65,'가정'!$D$67,'가정'!$D$69,'가정'!$D$71))*'가정'!$D$49*(1)*'가정'!$D$46-('가정'!$D$72+'가정'!$D$73+'가정'!$D$74)),"회수 불가")</f>
        <v/>
      </c>
    </row>
    <row r="70">
      <c r="A70" s="35" t="n">
        <v>3</v>
      </c>
      <c r="B70" s="10">
        <f>IF(('가정'!$D$12*('가정'!$D$14)*('가정'!$D$15)*('가정'!$D$16)*($A70)*('계산'!$C$14)-((1)*'계산'!$C$18+'계산'!$C$22)*('가정'!$D$60)*'가정'!$D$46-'가정'!$D$50*(CHOOSE(B$68,'가정'!$D$64,'가정'!$D$66,'가정'!$D$68,'가정'!$D$70))*($A70)/'가정'!$D$63*(CHOOSE(B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70)*('계산'!$C$14)-((1)*'계산'!$C$18+'계산'!$C$22)*('가정'!$D$60)*'가정'!$D$46-'가정'!$D$50*(CHOOSE(B$68,'가정'!$D$64,'가정'!$D$66,'가정'!$D$68,'가정'!$D$70))*($A70)/'가정'!$D$63*(CHOOSE(B$68,'가정'!$D$65,'가정'!$D$67,'가정'!$D$69,'가정'!$D$71))*'가정'!$D$49*(1)*'가정'!$D$46-('가정'!$D$72+'가정'!$D$73+'가정'!$D$74)),"회수 불가")</f>
        <v/>
      </c>
      <c r="C70" s="10">
        <f>IF(('가정'!$D$12*('가정'!$D$14)*('가정'!$D$15)*('가정'!$D$16)*($A70)*('계산'!$C$14)-((1)*'계산'!$C$18+'계산'!$C$22)*('가정'!$D$60)*'가정'!$D$46-'가정'!$D$50*(CHOOSE(C$68,'가정'!$D$64,'가정'!$D$66,'가정'!$D$68,'가정'!$D$70))*($A70)/'가정'!$D$63*(CHOOSE(C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70)*('계산'!$C$14)-((1)*'계산'!$C$18+'계산'!$C$22)*('가정'!$D$60)*'가정'!$D$46-'가정'!$D$50*(CHOOSE(C$68,'가정'!$D$64,'가정'!$D$66,'가정'!$D$68,'가정'!$D$70))*($A70)/'가정'!$D$63*(CHOOSE(C$68,'가정'!$D$65,'가정'!$D$67,'가정'!$D$69,'가정'!$D$71))*'가정'!$D$49*(1)*'가정'!$D$46-('가정'!$D$72+'가정'!$D$73+'가정'!$D$74)),"회수 불가")</f>
        <v/>
      </c>
      <c r="D70" s="10">
        <f>IF(('가정'!$D$12*('가정'!$D$14)*('가정'!$D$15)*('가정'!$D$16)*($A70)*('계산'!$C$14)-((1)*'계산'!$C$18+'계산'!$C$22)*('가정'!$D$60)*'가정'!$D$46-'가정'!$D$50*(CHOOSE(D$68,'가정'!$D$64,'가정'!$D$66,'가정'!$D$68,'가정'!$D$70))*($A70)/'가정'!$D$63*(CHOOSE(D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70)*('계산'!$C$14)-((1)*'계산'!$C$18+'계산'!$C$22)*('가정'!$D$60)*'가정'!$D$46-'가정'!$D$50*(CHOOSE(D$68,'가정'!$D$64,'가정'!$D$66,'가정'!$D$68,'가정'!$D$70))*($A70)/'가정'!$D$63*(CHOOSE(D$68,'가정'!$D$65,'가정'!$D$67,'가정'!$D$69,'가정'!$D$71))*'가정'!$D$49*(1)*'가정'!$D$46-('가정'!$D$72+'가정'!$D$73+'가정'!$D$74)),"회수 불가")</f>
        <v/>
      </c>
      <c r="E70" s="10">
        <f>IF(('가정'!$D$12*('가정'!$D$14)*('가정'!$D$15)*('가정'!$D$16)*($A70)*('계산'!$C$14)-((1)*'계산'!$C$18+'계산'!$C$22)*('가정'!$D$60)*'가정'!$D$46-'가정'!$D$50*(CHOOSE(E$68,'가정'!$D$64,'가정'!$D$66,'가정'!$D$68,'가정'!$D$70))*($A70)/'가정'!$D$63*(CHOOSE(E$68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$A70)*('계산'!$C$14)-((1)*'계산'!$C$18+'계산'!$C$22)*('가정'!$D$60)*'가정'!$D$46-'가정'!$D$50*(CHOOSE(E$68,'가정'!$D$64,'가정'!$D$66,'가정'!$D$68,'가정'!$D$70))*($A70)/'가정'!$D$63*(CHOOSE(E$68,'가정'!$D$65,'가정'!$D$67,'가정'!$D$69,'가정'!$D$71))*'가정'!$D$49*(1)*'가정'!$D$46-('가정'!$D$72+'가정'!$D$73+'가정'!$D$74)),"회수 불가")</f>
        <v/>
      </c>
    </row>
    <row r="73">
      <c r="A73" s="3" t="inlineStr">
        <is>
          <t>6. 인건비 시나리오 x 교대 수 - 회수 기간 (년)</t>
        </is>
      </c>
    </row>
    <row r="74" ht="30" customHeight="1">
      <c r="A74" s="2" t="inlineStr">
        <is>
          <t>기준: 선택 손 교체 시나리오. 인건비 시나리오는 시급·야간 비율·연장을 묶은 것.</t>
        </is>
      </c>
    </row>
    <row r="75">
      <c r="A75" s="29" t="inlineStr">
        <is>
          <t>인건비 시나리오 \ 교대 수</t>
        </is>
      </c>
      <c r="B75" s="35" t="n">
        <v>2</v>
      </c>
      <c r="C75" s="35" t="n">
        <v>3</v>
      </c>
    </row>
    <row r="76">
      <c r="A76" s="35" t="n">
        <v>1</v>
      </c>
      <c r="B76" s="10">
        <f>IF(('가정'!$D$12*('가정'!$D$14)*('가정'!$D$15)*('가정'!$D$16)*(B$75)*(INDEX('계산'!$C$13:$E$13,$A76))-((1)*'계산'!$C$18+'계산'!$C$22)*('가정'!$D$60)*'가정'!$D$46-'가정'!$D$50*(CHOOSE('가정'!$D$7,'가정'!$D$64,'가정'!$D$66,'가정'!$D$68,'가정'!$D$70))*(B$75)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B$75)*(INDEX('계산'!$C$13:$E$13,$A76))-((1)*'계산'!$C$18+'계산'!$C$22)*('가정'!$D$60)*'가정'!$D$46-'가정'!$D$50*(CHOOSE('가정'!$D$7,'가정'!$D$64,'가정'!$D$66,'가정'!$D$68,'가정'!$D$70))*(B$75)/'가정'!$D$63*(CHOOSE('가정'!$D$7,'가정'!$D$65,'가정'!$D$67,'가정'!$D$69,'가정'!$D$71))*'가정'!$D$49*(1)*'가정'!$D$46-('가정'!$D$72+'가정'!$D$73+'가정'!$D$74)),"회수 불가")</f>
        <v/>
      </c>
      <c r="C76" s="10">
        <f>IF(('가정'!$D$12*('가정'!$D$14)*('가정'!$D$15)*('가정'!$D$16)*(C$75)*(INDEX('계산'!$C$13:$E$13,$A76))-((1)*'계산'!$C$18+'계산'!$C$22)*('가정'!$D$60)*'가정'!$D$46-'가정'!$D$50*(CHOOSE('가정'!$D$7,'가정'!$D$64,'가정'!$D$66,'가정'!$D$68,'가정'!$D$70))*(C$75)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C$75)*(INDEX('계산'!$C$13:$E$13,$A76))-((1)*'계산'!$C$18+'계산'!$C$22)*('가정'!$D$60)*'가정'!$D$46-'가정'!$D$50*(CHOOSE('가정'!$D$7,'가정'!$D$64,'가정'!$D$66,'가정'!$D$68,'가정'!$D$70))*(C$75)/'가정'!$D$63*(CHOOSE('가정'!$D$7,'가정'!$D$65,'가정'!$D$67,'가정'!$D$69,'가정'!$D$71))*'가정'!$D$49*(1)*'가정'!$D$46-('가정'!$D$72+'가정'!$D$73+'가정'!$D$74)),"회수 불가")</f>
        <v/>
      </c>
    </row>
    <row r="77">
      <c r="A77" s="35" t="n">
        <v>2</v>
      </c>
      <c r="B77" s="10">
        <f>IF(('가정'!$D$12*('가정'!$D$14)*('가정'!$D$15)*('가정'!$D$16)*(B$75)*(INDEX('계산'!$C$13:$E$13,$A77))-((1)*'계산'!$C$18+'계산'!$C$22)*('가정'!$D$60)*'가정'!$D$46-'가정'!$D$50*(CHOOSE('가정'!$D$7,'가정'!$D$64,'가정'!$D$66,'가정'!$D$68,'가정'!$D$70))*(B$75)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B$75)*(INDEX('계산'!$C$13:$E$13,$A77))-((1)*'계산'!$C$18+'계산'!$C$22)*('가정'!$D$60)*'가정'!$D$46-'가정'!$D$50*(CHOOSE('가정'!$D$7,'가정'!$D$64,'가정'!$D$66,'가정'!$D$68,'가정'!$D$70))*(B$75)/'가정'!$D$63*(CHOOSE('가정'!$D$7,'가정'!$D$65,'가정'!$D$67,'가정'!$D$69,'가정'!$D$71))*'가정'!$D$49*(1)*'가정'!$D$46-('가정'!$D$72+'가정'!$D$73+'가정'!$D$74)),"회수 불가")</f>
        <v/>
      </c>
      <c r="C77" s="10">
        <f>IF(('가정'!$D$12*('가정'!$D$14)*('가정'!$D$15)*('가정'!$D$16)*(C$75)*(INDEX('계산'!$C$13:$E$13,$A77))-((1)*'계산'!$C$18+'계산'!$C$22)*('가정'!$D$60)*'가정'!$D$46-'가정'!$D$50*(CHOOSE('가정'!$D$7,'가정'!$D$64,'가정'!$D$66,'가정'!$D$68,'가정'!$D$70))*(C$75)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C$75)*(INDEX('계산'!$C$13:$E$13,$A77))-((1)*'계산'!$C$18+'계산'!$C$22)*('가정'!$D$60)*'가정'!$D$46-'가정'!$D$50*(CHOOSE('가정'!$D$7,'가정'!$D$64,'가정'!$D$66,'가정'!$D$68,'가정'!$D$70))*(C$75)/'가정'!$D$63*(CHOOSE('가정'!$D$7,'가정'!$D$65,'가정'!$D$67,'가정'!$D$69,'가정'!$D$71))*'가정'!$D$49*(1)*'가정'!$D$46-('가정'!$D$72+'가정'!$D$73+'가정'!$D$74)),"회수 불가")</f>
        <v/>
      </c>
    </row>
    <row r="78">
      <c r="A78" s="35" t="n">
        <v>3</v>
      </c>
      <c r="B78" s="10">
        <f>IF(('가정'!$D$12*('가정'!$D$14)*('가정'!$D$15)*('가정'!$D$16)*(B$75)*(INDEX('계산'!$C$13:$E$13,$A78))-((1)*'계산'!$C$18+'계산'!$C$22)*('가정'!$D$60)*'가정'!$D$46-'가정'!$D$50*(CHOOSE('가정'!$D$7,'가정'!$D$64,'가정'!$D$66,'가정'!$D$68,'가정'!$D$70))*(B$75)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B$75)*(INDEX('계산'!$C$13:$E$13,$A78))-((1)*'계산'!$C$18+'계산'!$C$22)*('가정'!$D$60)*'가정'!$D$46-'가정'!$D$50*(CHOOSE('가정'!$D$7,'가정'!$D$64,'가정'!$D$66,'가정'!$D$68,'가정'!$D$70))*(B$75)/'가정'!$D$63*(CHOOSE('가정'!$D$7,'가정'!$D$65,'가정'!$D$67,'가정'!$D$69,'가정'!$D$71))*'가정'!$D$49*(1)*'가정'!$D$46-('가정'!$D$72+'가정'!$D$73+'가정'!$D$74)),"회수 불가")</f>
        <v/>
      </c>
      <c r="C78" s="10">
        <f>IF(('가정'!$D$12*('가정'!$D$14)*('가정'!$D$15)*('가정'!$D$16)*(C$75)*(INDEX('계산'!$C$13:$E$13,$A78))-((1)*'계산'!$C$18+'계산'!$C$22)*('가정'!$D$60)*'가정'!$D$46-'가정'!$D$50*(CHOOSE('가정'!$D$7,'가정'!$D$64,'가정'!$D$66,'가정'!$D$68,'가정'!$D$70))*(C$75)/'가정'!$D$63*(CHOOSE('가정'!$D$7,'가정'!$D$65,'가정'!$D$67,'가정'!$D$69,'가정'!$D$71))*'가정'!$D$49*(1)*'가정'!$D$46-('가정'!$D$72+'가정'!$D$73+'가정'!$D$74))&gt;0,(((1)*('계산'!$C$18+'계산'!$C$19)+'계산'!$C$22)*(1+('가정'!$D$57))*'가정'!$D$46+'가정'!$D$58)/('가정'!$D$12*('가정'!$D$14)*('가정'!$D$15)*('가정'!$D$16)*(C$75)*(INDEX('계산'!$C$13:$E$13,$A78))-((1)*'계산'!$C$18+'계산'!$C$22)*('가정'!$D$60)*'가정'!$D$46-'가정'!$D$50*(CHOOSE('가정'!$D$7,'가정'!$D$64,'가정'!$D$66,'가정'!$D$68,'가정'!$D$70))*(C$75)/'가정'!$D$63*(CHOOSE('가정'!$D$7,'가정'!$D$65,'가정'!$D$67,'가정'!$D$69,'가정'!$D$71))*'가정'!$D$49*(1)*'가정'!$D$46-('가정'!$D$72+'가정'!$D$73+'가정'!$D$74)),"회수 불가")</f>
        <v/>
      </c>
    </row>
    <row r="81">
      <c r="A81" s="3" t="inlineStr">
        <is>
          <t>7. 가동률 x 로봇 팔·손 단가 - 회수 기간 (년) (roi-model 스킬 표준 표)</t>
        </is>
      </c>
    </row>
    <row r="82" ht="30" customHeight="1">
      <c r="A82" s="2" t="inlineStr">
        <is>
          <t>단가 변화는 팔·손 가격에만 적용(통합비율은 하드웨어 비례로 같이 변함, 나머지 부품은 고정).</t>
        </is>
      </c>
    </row>
    <row r="83">
      <c r="A83" s="29" t="inlineStr">
        <is>
          <t>가동률 \ 단가 변화</t>
        </is>
      </c>
      <c r="B83" s="39" t="n">
        <v>-0.3</v>
      </c>
      <c r="C83" s="39" t="n">
        <v>-0.15</v>
      </c>
      <c r="D83" s="39" t="n">
        <v>0</v>
      </c>
      <c r="E83" s="39" t="n">
        <v>0.15</v>
      </c>
      <c r="F83" s="39" t="n">
        <v>0.3</v>
      </c>
    </row>
    <row r="84">
      <c r="A84" s="37" t="n">
        <v>0.6</v>
      </c>
      <c r="B84" s="10">
        <f>IF(('가정'!$D$12*('가정'!$D$14)*('가정'!$D$15)*($A84)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&gt;0,((((1+B$83))*('계산'!$C$18+'계산'!$C$19)+'계산'!$C$22)*(1+('가정'!$D$57))*'가정'!$D$46+'가정'!$D$58)/('가정'!$D$12*('가정'!$D$14)*('가정'!$D$15)*($A84)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,"회수 불가")</f>
        <v/>
      </c>
      <c r="C84" s="10">
        <f>IF(('가정'!$D$12*('가정'!$D$14)*('가정'!$D$15)*($A84)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&gt;0,((((1+C$83))*('계산'!$C$18+'계산'!$C$19)+'계산'!$C$22)*(1+('가정'!$D$57))*'가정'!$D$46+'가정'!$D$58)/('가정'!$D$12*('가정'!$D$14)*('가정'!$D$15)*($A84)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,"회수 불가")</f>
        <v/>
      </c>
      <c r="D84" s="10">
        <f>IF(('가정'!$D$12*('가정'!$D$14)*('가정'!$D$15)*($A84)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&gt;0,((((1+D$83))*('계산'!$C$18+'계산'!$C$19)+'계산'!$C$22)*(1+('가정'!$D$57))*'가정'!$D$46+'가정'!$D$58)/('가정'!$D$12*('가정'!$D$14)*('가정'!$D$15)*($A84)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,"회수 불가")</f>
        <v/>
      </c>
      <c r="E84" s="10">
        <f>IF(('가정'!$D$12*('가정'!$D$14)*('가정'!$D$15)*($A84)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&gt;0,((((1+E$83))*('계산'!$C$18+'계산'!$C$19)+'계산'!$C$22)*(1+('가정'!$D$57))*'가정'!$D$46+'가정'!$D$58)/('가정'!$D$12*('가정'!$D$14)*('가정'!$D$15)*($A84)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,"회수 불가")</f>
        <v/>
      </c>
      <c r="F84" s="10">
        <f>IF(('가정'!$D$12*('가정'!$D$14)*('가정'!$D$15)*($A84)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&gt;0,((((1+F$83))*('계산'!$C$18+'계산'!$C$19)+'계산'!$C$22)*(1+('가정'!$D$57))*'가정'!$D$46+'가정'!$D$58)/('가정'!$D$12*('가정'!$D$14)*('가정'!$D$15)*($A84)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,"회수 불가")</f>
        <v/>
      </c>
    </row>
    <row r="85">
      <c r="A85" s="37" t="n">
        <v>0.7</v>
      </c>
      <c r="B85" s="10">
        <f>IF(('가정'!$D$12*('가정'!$D$14)*('가정'!$D$15)*($A85)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&gt;0,((((1+B$83))*('계산'!$C$18+'계산'!$C$19)+'계산'!$C$22)*(1+('가정'!$D$57))*'가정'!$D$46+'가정'!$D$58)/('가정'!$D$12*('가정'!$D$14)*('가정'!$D$15)*($A85)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,"회수 불가")</f>
        <v/>
      </c>
      <c r="C85" s="10">
        <f>IF(('가정'!$D$12*('가정'!$D$14)*('가정'!$D$15)*($A85)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&gt;0,((((1+C$83))*('계산'!$C$18+'계산'!$C$19)+'계산'!$C$22)*(1+('가정'!$D$57))*'가정'!$D$46+'가정'!$D$58)/('가정'!$D$12*('가정'!$D$14)*('가정'!$D$15)*($A85)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,"회수 불가")</f>
        <v/>
      </c>
      <c r="D85" s="10">
        <f>IF(('가정'!$D$12*('가정'!$D$14)*('가정'!$D$15)*($A85)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&gt;0,((((1+D$83))*('계산'!$C$18+'계산'!$C$19)+'계산'!$C$22)*(1+('가정'!$D$57))*'가정'!$D$46+'가정'!$D$58)/('가정'!$D$12*('가정'!$D$14)*('가정'!$D$15)*($A85)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,"회수 불가")</f>
        <v/>
      </c>
      <c r="E85" s="10">
        <f>IF(('가정'!$D$12*('가정'!$D$14)*('가정'!$D$15)*($A85)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&gt;0,((((1+E$83))*('계산'!$C$18+'계산'!$C$19)+'계산'!$C$22)*(1+('가정'!$D$57))*'가정'!$D$46+'가정'!$D$58)/('가정'!$D$12*('가정'!$D$14)*('가정'!$D$15)*($A85)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,"회수 불가")</f>
        <v/>
      </c>
      <c r="F85" s="10">
        <f>IF(('가정'!$D$12*('가정'!$D$14)*('가정'!$D$15)*($A85)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&gt;0,((((1+F$83))*('계산'!$C$18+'계산'!$C$19)+'계산'!$C$22)*(1+('가정'!$D$57))*'가정'!$D$46+'가정'!$D$58)/('가정'!$D$12*('가정'!$D$14)*('가정'!$D$15)*($A85)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,"회수 불가")</f>
        <v/>
      </c>
    </row>
    <row r="86">
      <c r="A86" s="37" t="n">
        <v>0.8</v>
      </c>
      <c r="B86" s="10">
        <f>IF(('가정'!$D$12*('가정'!$D$14)*('가정'!$D$15)*($A86)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&gt;0,((((1+B$83))*('계산'!$C$18+'계산'!$C$19)+'계산'!$C$22)*(1+('가정'!$D$57))*'가정'!$D$46+'가정'!$D$58)/('가정'!$D$12*('가정'!$D$14)*('가정'!$D$15)*($A86)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,"회수 불가")</f>
        <v/>
      </c>
      <c r="C86" s="10">
        <f>IF(('가정'!$D$12*('가정'!$D$14)*('가정'!$D$15)*($A86)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&gt;0,((((1+C$83))*('계산'!$C$18+'계산'!$C$19)+'계산'!$C$22)*(1+('가정'!$D$57))*'가정'!$D$46+'가정'!$D$58)/('가정'!$D$12*('가정'!$D$14)*('가정'!$D$15)*($A86)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,"회수 불가")</f>
        <v/>
      </c>
      <c r="D86" s="10">
        <f>IF(('가정'!$D$12*('가정'!$D$14)*('가정'!$D$15)*($A86)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&gt;0,((((1+D$83))*('계산'!$C$18+'계산'!$C$19)+'계산'!$C$22)*(1+('가정'!$D$57))*'가정'!$D$46+'가정'!$D$58)/('가정'!$D$12*('가정'!$D$14)*('가정'!$D$15)*($A86)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,"회수 불가")</f>
        <v/>
      </c>
      <c r="E86" s="10">
        <f>IF(('가정'!$D$12*('가정'!$D$14)*('가정'!$D$15)*($A86)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&gt;0,((((1+E$83))*('계산'!$C$18+'계산'!$C$19)+'계산'!$C$22)*(1+('가정'!$D$57))*'가정'!$D$46+'가정'!$D$58)/('가정'!$D$12*('가정'!$D$14)*('가정'!$D$15)*($A86)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,"회수 불가")</f>
        <v/>
      </c>
      <c r="F86" s="10">
        <f>IF(('가정'!$D$12*('가정'!$D$14)*('가정'!$D$15)*($A86)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&gt;0,((((1+F$83))*('계산'!$C$18+'계산'!$C$19)+'계산'!$C$22)*(1+('가정'!$D$57))*'가정'!$D$46+'가정'!$D$58)/('가정'!$D$12*('가정'!$D$14)*('가정'!$D$15)*($A86)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,"회수 불가")</f>
        <v/>
      </c>
    </row>
    <row r="87">
      <c r="A87" s="37" t="n">
        <v>0.9</v>
      </c>
      <c r="B87" s="10">
        <f>IF(('가정'!$D$12*('가정'!$D$14)*('가정'!$D$15)*($A87)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&gt;0,((((1+B$83))*('계산'!$C$18+'계산'!$C$19)+'계산'!$C$22)*(1+('가정'!$D$57))*'가정'!$D$46+'가정'!$D$58)/('가정'!$D$12*('가정'!$D$14)*('가정'!$D$15)*($A87)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,"회수 불가")</f>
        <v/>
      </c>
      <c r="C87" s="10">
        <f>IF(('가정'!$D$12*('가정'!$D$14)*('가정'!$D$15)*($A87)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&gt;0,((((1+C$83))*('계산'!$C$18+'계산'!$C$19)+'계산'!$C$22)*(1+('가정'!$D$57))*'가정'!$D$46+'가정'!$D$58)/('가정'!$D$12*('가정'!$D$14)*('가정'!$D$15)*($A87)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,"회수 불가")</f>
        <v/>
      </c>
      <c r="D87" s="10">
        <f>IF(('가정'!$D$12*('가정'!$D$14)*('가정'!$D$15)*($A87)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&gt;0,((((1+D$83))*('계산'!$C$18+'계산'!$C$19)+'계산'!$C$22)*(1+('가정'!$D$57))*'가정'!$D$46+'가정'!$D$58)/('가정'!$D$12*('가정'!$D$14)*('가정'!$D$15)*($A87)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,"회수 불가")</f>
        <v/>
      </c>
      <c r="E87" s="10">
        <f>IF(('가정'!$D$12*('가정'!$D$14)*('가정'!$D$15)*($A87)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&gt;0,((((1+E$83))*('계산'!$C$18+'계산'!$C$19)+'계산'!$C$22)*(1+('가정'!$D$57))*'가정'!$D$46+'가정'!$D$58)/('가정'!$D$12*('가정'!$D$14)*('가정'!$D$15)*($A87)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,"회수 불가")</f>
        <v/>
      </c>
      <c r="F87" s="10">
        <f>IF(('가정'!$D$12*('가정'!$D$14)*('가정'!$D$15)*($A87)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&gt;0,((((1+F$83))*('계산'!$C$18+'계산'!$C$19)+'계산'!$C$22)*(1+('가정'!$D$57))*'가정'!$D$46+'가정'!$D$58)/('가정'!$D$12*('가정'!$D$14)*('가정'!$D$15)*($A87)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,"회수 불가")</f>
        <v/>
      </c>
    </row>
    <row r="88">
      <c r="A88" s="37" t="n">
        <v>0.95</v>
      </c>
      <c r="B88" s="10">
        <f>IF(('가정'!$D$12*('가정'!$D$14)*('가정'!$D$15)*($A88)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&gt;0,((((1+B$83))*('계산'!$C$18+'계산'!$C$19)+'계산'!$C$22)*(1+('가정'!$D$57))*'가정'!$D$46+'가정'!$D$58)/('가정'!$D$12*('가정'!$D$14)*('가정'!$D$15)*($A88)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,"회수 불가")</f>
        <v/>
      </c>
      <c r="C88" s="10">
        <f>IF(('가정'!$D$12*('가정'!$D$14)*('가정'!$D$15)*($A88)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&gt;0,((((1+C$83))*('계산'!$C$18+'계산'!$C$19)+'계산'!$C$22)*(1+('가정'!$D$57))*'가정'!$D$46+'가정'!$D$58)/('가정'!$D$12*('가정'!$D$14)*('가정'!$D$15)*($A88)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,"회수 불가")</f>
        <v/>
      </c>
      <c r="D88" s="10">
        <f>IF(('가정'!$D$12*('가정'!$D$14)*('가정'!$D$15)*($A88)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&gt;0,((((1+D$83))*('계산'!$C$18+'계산'!$C$19)+'계산'!$C$22)*(1+('가정'!$D$57))*'가정'!$D$46+'가정'!$D$58)/('가정'!$D$12*('가정'!$D$14)*('가정'!$D$15)*($A88)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,"회수 불가")</f>
        <v/>
      </c>
      <c r="E88" s="10">
        <f>IF(('가정'!$D$12*('가정'!$D$14)*('가정'!$D$15)*($A88)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&gt;0,((((1+E$83))*('계산'!$C$18+'계산'!$C$19)+'계산'!$C$22)*(1+('가정'!$D$57))*'가정'!$D$46+'가정'!$D$58)/('가정'!$D$12*('가정'!$D$14)*('가정'!$D$15)*($A88)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,"회수 불가")</f>
        <v/>
      </c>
      <c r="F88" s="10">
        <f>IF(('가정'!$D$12*('가정'!$D$14)*('가정'!$D$15)*($A88)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&gt;0,((((1+F$83))*('계산'!$C$18+'계산'!$C$19)+'계산'!$C$22)*(1+('가정'!$D$57))*'가정'!$D$46+'가정'!$D$58)/('가정'!$D$12*('가정'!$D$14)*('가정'!$D$15)*($A88)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,"회수 불가")</f>
        <v/>
      </c>
    </row>
    <row r="89">
      <c r="A89" s="37" t="n">
        <v>1</v>
      </c>
      <c r="B89" s="10">
        <f>IF(('가정'!$D$12*('가정'!$D$14)*('가정'!$D$15)*($A89)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&gt;0,((((1+B$83))*('계산'!$C$18+'계산'!$C$19)+'계산'!$C$22)*(1+('가정'!$D$57))*'가정'!$D$46+'가정'!$D$58)/('가정'!$D$12*('가정'!$D$14)*('가정'!$D$15)*($A89)*('가정'!$D$9)*('계산'!$C$14)-(((1+B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B$83))*'가정'!$D$46-('가정'!$D$72+'가정'!$D$73+'가정'!$D$74)),"회수 불가")</f>
        <v/>
      </c>
      <c r="C89" s="10">
        <f>IF(('가정'!$D$12*('가정'!$D$14)*('가정'!$D$15)*($A89)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&gt;0,((((1+C$83))*('계산'!$C$18+'계산'!$C$19)+'계산'!$C$22)*(1+('가정'!$D$57))*'가정'!$D$46+'가정'!$D$58)/('가정'!$D$12*('가정'!$D$14)*('가정'!$D$15)*($A89)*('가정'!$D$9)*('계산'!$C$14)-(((1+C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C$83))*'가정'!$D$46-('가정'!$D$72+'가정'!$D$73+'가정'!$D$74)),"회수 불가")</f>
        <v/>
      </c>
      <c r="D89" s="10">
        <f>IF(('가정'!$D$12*('가정'!$D$14)*('가정'!$D$15)*($A89)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&gt;0,((((1+D$83))*('계산'!$C$18+'계산'!$C$19)+'계산'!$C$22)*(1+('가정'!$D$57))*'가정'!$D$46+'가정'!$D$58)/('가정'!$D$12*('가정'!$D$14)*('가정'!$D$15)*($A89)*('가정'!$D$9)*('계산'!$C$14)-(((1+D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D$83))*'가정'!$D$46-('가정'!$D$72+'가정'!$D$73+'가정'!$D$74)),"회수 불가")</f>
        <v/>
      </c>
      <c r="E89" s="10">
        <f>IF(('가정'!$D$12*('가정'!$D$14)*('가정'!$D$15)*($A89)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&gt;0,((((1+E$83))*('계산'!$C$18+'계산'!$C$19)+'계산'!$C$22)*(1+('가정'!$D$57))*'가정'!$D$46+'가정'!$D$58)/('가정'!$D$12*('가정'!$D$14)*('가정'!$D$15)*($A89)*('가정'!$D$9)*('계산'!$C$14)-(((1+E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E$83))*'가정'!$D$46-('가정'!$D$72+'가정'!$D$73+'가정'!$D$74)),"회수 불가")</f>
        <v/>
      </c>
      <c r="F89" s="10">
        <f>IF(('가정'!$D$12*('가정'!$D$14)*('가정'!$D$15)*($A89)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&gt;0,((((1+F$83))*('계산'!$C$18+'계산'!$C$19)+'계산'!$C$22)*(1+('가정'!$D$57))*'가정'!$D$46+'가정'!$D$58)/('가정'!$D$12*('가정'!$D$14)*('가정'!$D$15)*($A89)*('가정'!$D$9)*('계산'!$C$14)-(((1+F$83))*'계산'!$C$18+'계산'!$C$22)*('가정'!$D$60)*'가정'!$D$46-'가정'!$D$50*(CHOOSE('가정'!$D$7,'가정'!$D$64,'가정'!$D$66,'가정'!$D$68,'가정'!$D$70))*('가정'!$D$9)/'가정'!$D$63*(CHOOSE('가정'!$D$7,'가정'!$D$65,'가정'!$D$67,'가정'!$D$69,'가정'!$D$71))*'가정'!$D$49*((1+F$83))*'가정'!$D$46-('가정'!$D$72+'가정'!$D$73+'가정'!$D$74)),"회수 불가")</f>
        <v/>
      </c>
    </row>
    <row r="92">
      <c r="A92" s="3" t="inlineStr">
        <is>
          <t>8. 손 단가 시나리오 - $23,000(제품 DB, 기본) 대 $7,500(RLWRLD 블로그) (B8)</t>
        </is>
      </c>
    </row>
    <row r="93" ht="62" customHeight="1">
      <c r="A93" s="2" t="inlineStr">
        <is>
          <t>손 단가는 가정 시트 D49(기본)와 D87(대안) 입력 셀 하나씩이며 투자비, 통합비, 손 소모비가 모두 이 값을 따른다. 팔·시스템 유지보수는 '손 제외 하드웨어' 기준이라 손 단가와 무관하다. 통합비는 현 모델이 하드웨어 합계(손 포함)에 비례하므로 '연동'이 현 모델 방식이고, '비연동'은 통합비를 $23,000 기준 금액으로 고정한 값이다. 둘 다 공식 견적이 아니므로 헤드라인에는 반영하지 않는다(추정).</t>
        </is>
      </c>
    </row>
    <row r="94">
      <c r="A94" s="29" t="inlineStr">
        <is>
          <t>손 교체 시나리오</t>
        </is>
      </c>
      <c r="B94" s="29" t="inlineStr">
        <is>
          <t>낙관 (f1, 20%)</t>
        </is>
      </c>
      <c r="C94" s="29" t="n"/>
      <c r="D94" s="29" t="n"/>
      <c r="E94" s="29" t="inlineStr">
        <is>
          <t>기본 (f2, 20%)</t>
        </is>
      </c>
      <c r="F94" s="29" t="n"/>
      <c r="G94" s="29" t="n"/>
      <c r="H94" s="29" t="inlineStr">
        <is>
          <t>보수 (f2, 100%)</t>
        </is>
      </c>
      <c r="I94" s="29" t="n"/>
      <c r="J94" s="29" t="n"/>
    </row>
    <row r="95">
      <c r="A95" s="29" t="inlineStr">
        <is>
          <t>항목 \ 손 단가</t>
        </is>
      </c>
      <c r="B95" s="29" t="inlineStr">
        <is>
          <t>$23,000 (D49)</t>
        </is>
      </c>
      <c r="C95" s="29" t="inlineStr">
        <is>
          <t>$7,500 (D87)</t>
        </is>
      </c>
      <c r="D95" s="29" t="inlineStr">
        <is>
          <t>차이 (7,500-23,000)</t>
        </is>
      </c>
      <c r="E95" s="29" t="inlineStr">
        <is>
          <t>$23,000 (D49)</t>
        </is>
      </c>
      <c r="F95" s="29" t="inlineStr">
        <is>
          <t>$7,500 (D87)</t>
        </is>
      </c>
      <c r="G95" s="29" t="inlineStr">
        <is>
          <t>차이 (7,500-23,000)</t>
        </is>
      </c>
      <c r="H95" s="29" t="inlineStr">
        <is>
          <t>$23,000 (D49)</t>
        </is>
      </c>
      <c r="I95" s="29" t="inlineStr">
        <is>
          <t>$7,500 (D87)</t>
        </is>
      </c>
      <c r="J95" s="29" t="inlineStr">
        <is>
          <t>차이 (7,500-23,000)</t>
        </is>
      </c>
    </row>
    <row r="96">
      <c r="A96" t="inlineStr">
        <is>
          <t>f: 손 1개당 연 교체 횟수 (2교대 기준)</t>
        </is>
      </c>
      <c r="B96" s="12">
        <f>'가정'!$D$64</f>
        <v/>
      </c>
      <c r="C96" s="12">
        <f>'가정'!$D$64</f>
        <v/>
      </c>
      <c r="D96" s="13" t="n"/>
      <c r="E96" s="12">
        <f>'가정'!$D$66</f>
        <v/>
      </c>
      <c r="F96" s="12">
        <f>'가정'!$D$66</f>
        <v/>
      </c>
      <c r="G96" s="13" t="n"/>
      <c r="H96" s="12">
        <f>'가정'!$D$68</f>
        <v/>
      </c>
      <c r="I96" s="12">
        <f>'가정'!$D$68</f>
        <v/>
      </c>
      <c r="J96" s="13" t="n"/>
    </row>
    <row r="97">
      <c r="A97" t="inlineStr">
        <is>
          <t>교체당 비용 비율 (손 가격 대비)</t>
        </is>
      </c>
      <c r="B97" s="25">
        <f>'가정'!$D$65</f>
        <v/>
      </c>
      <c r="C97" s="25">
        <f>'가정'!$D$65</f>
        <v/>
      </c>
      <c r="D97" s="13" t="n"/>
      <c r="E97" s="25">
        <f>'가정'!$D$67</f>
        <v/>
      </c>
      <c r="F97" s="25">
        <f>'가정'!$D$67</f>
        <v/>
      </c>
      <c r="G97" s="13" t="n"/>
      <c r="H97" s="25">
        <f>'가정'!$D$69</f>
        <v/>
      </c>
      <c r="I97" s="25">
        <f>'가정'!$D$69</f>
        <v/>
      </c>
      <c r="J97" s="13" t="n"/>
    </row>
    <row r="98">
      <c r="A98" t="inlineStr">
        <is>
          <t>손 단가 (USD/개)</t>
        </is>
      </c>
      <c r="B98" s="13">
        <f>'가정'!$D$49</f>
        <v/>
      </c>
      <c r="C98" s="13">
        <f>'가정'!$D$87</f>
        <v/>
      </c>
      <c r="D98" s="13">
        <f>IF(AND(ISNUMBER(B98),ISNUMBER(C98)),C98-B98,"-")</f>
        <v/>
      </c>
      <c r="E98" s="13">
        <f>'가정'!$D$49</f>
        <v/>
      </c>
      <c r="F98" s="13">
        <f>'가정'!$D$87</f>
        <v/>
      </c>
      <c r="G98" s="13">
        <f>IF(AND(ISNUMBER(E98),ISNUMBER(F98)),F98-E98,"-")</f>
        <v/>
      </c>
      <c r="H98" s="13">
        <f>'가정'!$D$49</f>
        <v/>
      </c>
      <c r="I98" s="13">
        <f>'가정'!$D$87</f>
        <v/>
      </c>
      <c r="J98" s="13">
        <f>IF(AND(ISNUMBER(H98),ISNUMBER(I98)),I98-H98,"-")</f>
        <v/>
      </c>
    </row>
    <row r="99">
      <c r="A99" t="inlineStr">
        <is>
          <t>손 투자비 (USD, 손 개수분)</t>
        </is>
      </c>
      <c r="B99" s="13">
        <f>B98*'가정'!$D$50</f>
        <v/>
      </c>
      <c r="C99" s="13">
        <f>C98*'가정'!$D$50</f>
        <v/>
      </c>
      <c r="D99" s="13">
        <f>IF(AND(ISNUMBER(B99),ISNUMBER(C99)),C99-B99,"-")</f>
        <v/>
      </c>
      <c r="E99" s="13">
        <f>E98*'가정'!$D$50</f>
        <v/>
      </c>
      <c r="F99" s="13">
        <f>F98*'가정'!$D$50</f>
        <v/>
      </c>
      <c r="G99" s="13">
        <f>IF(AND(ISNUMBER(E99),ISNUMBER(F99)),F99-E99,"-")</f>
        <v/>
      </c>
      <c r="H99" s="13">
        <f>H98*'가정'!$D$50</f>
        <v/>
      </c>
      <c r="I99" s="13">
        <f>I98*'가정'!$D$50</f>
        <v/>
      </c>
      <c r="J99" s="13">
        <f>IF(AND(ISNUMBER(H99),ISNUMBER(I99)),I99-H99,"-")</f>
        <v/>
      </c>
    </row>
    <row r="100">
      <c r="A100" t="inlineStr">
        <is>
          <t>손 외 하드웨어 (USD, 팔+센서+카메라+지그+PC)</t>
        </is>
      </c>
      <c r="B100" s="13">
        <f>'계산'!$C$18+'계산'!$C$22</f>
        <v/>
      </c>
      <c r="C100" s="13">
        <f>'계산'!$C$18+'계산'!$C$22</f>
        <v/>
      </c>
      <c r="D100" s="13">
        <f>IF(AND(ISNUMBER(B100),ISNUMBER(C100)),C100-B100,"-")</f>
        <v/>
      </c>
      <c r="E100" s="13">
        <f>'계산'!$C$18+'계산'!$C$22</f>
        <v/>
      </c>
      <c r="F100" s="13">
        <f>'계산'!$C$18+'계산'!$C$22</f>
        <v/>
      </c>
      <c r="G100" s="13">
        <f>IF(AND(ISNUMBER(E100),ISNUMBER(F100)),F100-E100,"-")</f>
        <v/>
      </c>
      <c r="H100" s="13">
        <f>'계산'!$C$18+'계산'!$C$22</f>
        <v/>
      </c>
      <c r="I100" s="13">
        <f>'계산'!$C$18+'계산'!$C$22</f>
        <v/>
      </c>
      <c r="J100" s="13">
        <f>IF(AND(ISNUMBER(H100),ISNUMBER(I100)),I100-H100,"-")</f>
        <v/>
      </c>
    </row>
    <row r="101">
      <c r="A101" t="inlineStr">
        <is>
          <t>하드웨어 합계 (USD)</t>
        </is>
      </c>
      <c r="B101" s="13">
        <f>B99+B100</f>
        <v/>
      </c>
      <c r="C101" s="13">
        <f>C99+C100</f>
        <v/>
      </c>
      <c r="D101" s="13">
        <f>IF(AND(ISNUMBER(B101),ISNUMBER(C101)),C101-B101,"-")</f>
        <v/>
      </c>
      <c r="E101" s="13">
        <f>E99+E100</f>
        <v/>
      </c>
      <c r="F101" s="13">
        <f>F99+F100</f>
        <v/>
      </c>
      <c r="G101" s="13">
        <f>IF(AND(ISNUMBER(E101),ISNUMBER(F101)),F101-E101,"-")</f>
        <v/>
      </c>
      <c r="H101" s="13">
        <f>H99+H100</f>
        <v/>
      </c>
      <c r="I101" s="13">
        <f>I99+I100</f>
        <v/>
      </c>
      <c r="J101" s="13">
        <f>IF(AND(ISNUMBER(H101),ISNUMBER(I101)),I101-H101,"-")</f>
        <v/>
      </c>
    </row>
    <row r="102">
      <c r="A102" t="inlineStr">
        <is>
          <t>통합비 (USD) - 연동 (하드웨어 비례, 현 모델)</t>
        </is>
      </c>
      <c r="B102" s="13">
        <f>B101*'가정'!$D$57</f>
        <v/>
      </c>
      <c r="C102" s="13">
        <f>C101*'가정'!$D$57</f>
        <v/>
      </c>
      <c r="D102" s="13">
        <f>IF(AND(ISNUMBER(B102),ISNUMBER(C102)),C102-B102,"-")</f>
        <v/>
      </c>
      <c r="E102" s="13">
        <f>E101*'가정'!$D$57</f>
        <v/>
      </c>
      <c r="F102" s="13">
        <f>F101*'가정'!$D$57</f>
        <v/>
      </c>
      <c r="G102" s="13">
        <f>IF(AND(ISNUMBER(E102),ISNUMBER(F102)),F102-E102,"-")</f>
        <v/>
      </c>
      <c r="H102" s="13">
        <f>H101*'가정'!$D$57</f>
        <v/>
      </c>
      <c r="I102" s="13">
        <f>I101*'가정'!$D$57</f>
        <v/>
      </c>
      <c r="J102" s="13">
        <f>IF(AND(ISNUMBER(H102),ISNUMBER(I102)),I102-H102,"-")</f>
        <v/>
      </c>
    </row>
    <row r="103">
      <c r="A103" t="inlineStr">
        <is>
          <t>통합비 (USD) - 비연동 ($23,000 기준 고정)</t>
        </is>
      </c>
      <c r="B103" s="13">
        <f>(B100+'가정'!$D$49*'가정'!$D$50)*'가정'!$D$57</f>
        <v/>
      </c>
      <c r="C103" s="13">
        <f>(C100+'가정'!$D$49*'가정'!$D$50)*'가정'!$D$57</f>
        <v/>
      </c>
      <c r="D103" s="13">
        <f>IF(AND(ISNUMBER(B103),ISNUMBER(C103)),C103-B103,"-")</f>
        <v/>
      </c>
      <c r="E103" s="13">
        <f>(E100+'가정'!$D$49*'가정'!$D$50)*'가정'!$D$57</f>
        <v/>
      </c>
      <c r="F103" s="13">
        <f>(F100+'가정'!$D$49*'가정'!$D$50)*'가정'!$D$57</f>
        <v/>
      </c>
      <c r="G103" s="13">
        <f>IF(AND(ISNUMBER(E103),ISNUMBER(F103)),F103-E103,"-")</f>
        <v/>
      </c>
      <c r="H103" s="13">
        <f>(H100+'가정'!$D$49*'가정'!$D$50)*'가정'!$D$57</f>
        <v/>
      </c>
      <c r="I103" s="13">
        <f>(I100+'가정'!$D$49*'가정'!$D$50)*'가정'!$D$57</f>
        <v/>
      </c>
      <c r="J103" s="13">
        <f>IF(AND(ISNUMBER(H103),ISNUMBER(I103)),I103-H103,"-")</f>
        <v/>
      </c>
    </row>
    <row r="104">
      <c r="A104" t="inlineStr">
        <is>
          <t>총 투자비 (USD) - 연동</t>
        </is>
      </c>
      <c r="B104" s="13">
        <f>B101+B102</f>
        <v/>
      </c>
      <c r="C104" s="13">
        <f>C101+C102</f>
        <v/>
      </c>
      <c r="D104" s="13">
        <f>IF(AND(ISNUMBER(B104),ISNUMBER(C104)),C104-B104,"-")</f>
        <v/>
      </c>
      <c r="E104" s="13">
        <f>E101+E102</f>
        <v/>
      </c>
      <c r="F104" s="13">
        <f>F101+F102</f>
        <v/>
      </c>
      <c r="G104" s="13">
        <f>IF(AND(ISNUMBER(E104),ISNUMBER(F104)),F104-E104,"-")</f>
        <v/>
      </c>
      <c r="H104" s="13">
        <f>H101+H102</f>
        <v/>
      </c>
      <c r="I104" s="13">
        <f>I101+I102</f>
        <v/>
      </c>
      <c r="J104" s="13">
        <f>IF(AND(ISNUMBER(H104),ISNUMBER(I104)),I104-H104,"-")</f>
        <v/>
      </c>
    </row>
    <row r="105">
      <c r="A105" t="inlineStr">
        <is>
          <t>총 투자비 (USD) - 비연동</t>
        </is>
      </c>
      <c r="B105" s="13">
        <f>B101+B103</f>
        <v/>
      </c>
      <c r="C105" s="13">
        <f>C101+C103</f>
        <v/>
      </c>
      <c r="D105" s="13">
        <f>IF(AND(ISNUMBER(B105),ISNUMBER(C105)),C105-B105,"-")</f>
        <v/>
      </c>
      <c r="E105" s="13">
        <f>E101+E103</f>
        <v/>
      </c>
      <c r="F105" s="13">
        <f>F101+F103</f>
        <v/>
      </c>
      <c r="G105" s="13">
        <f>IF(AND(ISNUMBER(E105),ISNUMBER(F105)),F105-E105,"-")</f>
        <v/>
      </c>
      <c r="H105" s="13">
        <f>H101+H103</f>
        <v/>
      </c>
      <c r="I105" s="13">
        <f>I101+I103</f>
        <v/>
      </c>
      <c r="J105" s="13">
        <f>IF(AND(ISNUMBER(H105),ISNUMBER(I105)),I105-H105,"-")</f>
        <v/>
      </c>
    </row>
    <row r="106">
      <c r="A106" t="inlineStr">
        <is>
          <t>총 투자비 (원) - 연동</t>
        </is>
      </c>
      <c r="B106" s="13">
        <f>B104*'가정'!$D$46+'가정'!$D$58</f>
        <v/>
      </c>
      <c r="C106" s="13">
        <f>C104*'가정'!$D$46+'가정'!$D$58</f>
        <v/>
      </c>
      <c r="D106" s="13">
        <f>IF(AND(ISNUMBER(B106),ISNUMBER(C106)),C106-B106,"-")</f>
        <v/>
      </c>
      <c r="E106" s="13">
        <f>E104*'가정'!$D$46+'가정'!$D$58</f>
        <v/>
      </c>
      <c r="F106" s="13">
        <f>F104*'가정'!$D$46+'가정'!$D$58</f>
        <v/>
      </c>
      <c r="G106" s="13">
        <f>IF(AND(ISNUMBER(E106),ISNUMBER(F106)),F106-E106,"-")</f>
        <v/>
      </c>
      <c r="H106" s="13">
        <f>H104*'가정'!$D$46+'가정'!$D$58</f>
        <v/>
      </c>
      <c r="I106" s="13">
        <f>I104*'가정'!$D$46+'가정'!$D$58</f>
        <v/>
      </c>
      <c r="J106" s="13">
        <f>IF(AND(ISNUMBER(H106),ISNUMBER(I106)),I106-H106,"-")</f>
        <v/>
      </c>
    </row>
    <row r="107">
      <c r="A107" t="inlineStr">
        <is>
          <t>총 투자비 (원) - 비연동</t>
        </is>
      </c>
      <c r="B107" s="13">
        <f>B105*'가정'!$D$46+'가정'!$D$58</f>
        <v/>
      </c>
      <c r="C107" s="13">
        <f>C105*'가정'!$D$46+'가정'!$D$58</f>
        <v/>
      </c>
      <c r="D107" s="13">
        <f>IF(AND(ISNUMBER(B107),ISNUMBER(C107)),C107-B107,"-")</f>
        <v/>
      </c>
      <c r="E107" s="13">
        <f>E105*'가정'!$D$46+'가정'!$D$58</f>
        <v/>
      </c>
      <c r="F107" s="13">
        <f>F105*'가정'!$D$46+'가정'!$D$58</f>
        <v/>
      </c>
      <c r="G107" s="13">
        <f>IF(AND(ISNUMBER(E107),ISNUMBER(F107)),F107-E107,"-")</f>
        <v/>
      </c>
      <c r="H107" s="13">
        <f>H105*'가정'!$D$46+'가정'!$D$58</f>
        <v/>
      </c>
      <c r="I107" s="13">
        <f>I105*'가정'!$D$46+'가정'!$D$58</f>
        <v/>
      </c>
      <c r="J107" s="13">
        <f>IF(AND(ISNUMBER(H107),ISNUMBER(I107)),I107-H107,"-")</f>
        <v/>
      </c>
    </row>
    <row r="108">
      <c r="A108" t="inlineStr">
        <is>
          <t>손 소모비 (원/년)</t>
        </is>
      </c>
      <c r="B108" s="13">
        <f>'가정'!$D$50*B96*'계산'!$C$42/'가정'!$D$63*B97*B98*'가정'!$D$46</f>
        <v/>
      </c>
      <c r="C108" s="13">
        <f>'가정'!$D$50*C96*'계산'!$C$42/'가정'!$D$63*C97*C98*'가정'!$D$46</f>
        <v/>
      </c>
      <c r="D108" s="13">
        <f>IF(AND(ISNUMBER(B108),ISNUMBER(C108)),C108-B108,"-")</f>
        <v/>
      </c>
      <c r="E108" s="13">
        <f>'가정'!$D$50*E96*'계산'!$C$42/'가정'!$D$63*E97*E98*'가정'!$D$46</f>
        <v/>
      </c>
      <c r="F108" s="13">
        <f>'가정'!$D$50*F96*'계산'!$C$42/'가정'!$D$63*F97*F98*'가정'!$D$46</f>
        <v/>
      </c>
      <c r="G108" s="13">
        <f>IF(AND(ISNUMBER(E108),ISNUMBER(F108)),F108-E108,"-")</f>
        <v/>
      </c>
      <c r="H108" s="13">
        <f>'가정'!$D$50*H96*'계산'!$C$42/'가정'!$D$63*H97*H98*'가정'!$D$46</f>
        <v/>
      </c>
      <c r="I108" s="13">
        <f>'가정'!$D$50*I96*'계산'!$C$42/'가정'!$D$63*I97*I98*'가정'!$D$46</f>
        <v/>
      </c>
      <c r="J108" s="13">
        <f>IF(AND(ISNUMBER(H108),ISNUMBER(I108)),I108-H108,"-")</f>
        <v/>
      </c>
    </row>
    <row r="109">
      <c r="A109" t="inlineStr">
        <is>
          <t>연간 운영비 (원)</t>
        </is>
      </c>
      <c r="B109" s="13">
        <f>'계산'!$C$50+B108+'계산'!$C$53</f>
        <v/>
      </c>
      <c r="C109" s="13">
        <f>'계산'!$C$50+C108+'계산'!$C$53</f>
        <v/>
      </c>
      <c r="D109" s="13">
        <f>IF(AND(ISNUMBER(B109),ISNUMBER(C109)),C109-B109,"-")</f>
        <v/>
      </c>
      <c r="E109" s="13">
        <f>'계산'!$C$50+E108+'계산'!$C$53</f>
        <v/>
      </c>
      <c r="F109" s="13">
        <f>'계산'!$C$50+F108+'계산'!$C$53</f>
        <v/>
      </c>
      <c r="G109" s="13">
        <f>IF(AND(ISNUMBER(E109),ISNUMBER(F109)),F109-E109,"-")</f>
        <v/>
      </c>
      <c r="H109" s="13">
        <f>'계산'!$C$50+H108+'계산'!$C$53</f>
        <v/>
      </c>
      <c r="I109" s="13">
        <f>'계산'!$C$50+I108+'계산'!$C$53</f>
        <v/>
      </c>
      <c r="J109" s="13">
        <f>IF(AND(ISNUMBER(H109),ISNUMBER(I109)),I109-H109,"-")</f>
        <v/>
      </c>
    </row>
    <row r="110">
      <c r="A110" t="inlineStr">
        <is>
          <t>연간 순효과 (원)</t>
        </is>
      </c>
      <c r="B110" s="13">
        <f>'계산'!$C$49-B109</f>
        <v/>
      </c>
      <c r="C110" s="13">
        <f>'계산'!$C$49-C109</f>
        <v/>
      </c>
      <c r="D110" s="13">
        <f>IF(AND(ISNUMBER(B110),ISNUMBER(C110)),C110-B110,"-")</f>
        <v/>
      </c>
      <c r="E110" s="13">
        <f>'계산'!$C$49-E109</f>
        <v/>
      </c>
      <c r="F110" s="13">
        <f>'계산'!$C$49-F109</f>
        <v/>
      </c>
      <c r="G110" s="13">
        <f>IF(AND(ISNUMBER(E110),ISNUMBER(F110)),F110-E110,"-")</f>
        <v/>
      </c>
      <c r="H110" s="13">
        <f>'계산'!$C$49-H109</f>
        <v/>
      </c>
      <c r="I110" s="13">
        <f>'계산'!$C$49-I109</f>
        <v/>
      </c>
      <c r="J110" s="13">
        <f>IF(AND(ISNUMBER(H110),ISNUMBER(I110)),I110-H110,"-")</f>
        <v/>
      </c>
    </row>
    <row r="111">
      <c r="A111" s="44" t="inlineStr">
        <is>
          <t>단순 회수 기간 (년) - 연동</t>
        </is>
      </c>
      <c r="B111" s="45">
        <f>IF(B110&gt;0,B106/B110,"회수 불가")</f>
        <v/>
      </c>
      <c r="C111" s="45">
        <f>IF(C110&gt;0,C106/C110,"회수 불가")</f>
        <v/>
      </c>
      <c r="D111" s="46">
        <f>IF(AND(ISNUMBER(B111),ISNUMBER(C111)),C111-B111,"-")</f>
        <v/>
      </c>
      <c r="E111" s="45">
        <f>IF(E110&gt;0,E106/E110,"회수 불가")</f>
        <v/>
      </c>
      <c r="F111" s="45">
        <f>IF(F110&gt;0,F106/F110,"회수 불가")</f>
        <v/>
      </c>
      <c r="G111" s="46">
        <f>IF(AND(ISNUMBER(E111),ISNUMBER(F111)),F111-E111,"-")</f>
        <v/>
      </c>
      <c r="H111" s="45">
        <f>IF(H110&gt;0,H106/H110,"회수 불가")</f>
        <v/>
      </c>
      <c r="I111" s="45">
        <f>IF(I110&gt;0,I106/I110,"회수 불가")</f>
        <v/>
      </c>
      <c r="J111" s="46">
        <f>IF(AND(ISNUMBER(H111),ISNUMBER(I111)),I111-H111,"-")</f>
        <v/>
      </c>
    </row>
    <row r="112">
      <c r="A112" s="44" t="inlineStr">
        <is>
          <t>5년 NPV (원) - 연동</t>
        </is>
      </c>
      <c r="B112" s="47">
        <f>-B106+NPV('가정'!$D$83,B110,B110,B110,B110,B110)</f>
        <v/>
      </c>
      <c r="C112" s="47">
        <f>-C106+NPV('가정'!$D$83,C110,C110,C110,C110,C110)</f>
        <v/>
      </c>
      <c r="D112" s="47">
        <f>IF(AND(ISNUMBER(B112),ISNUMBER(C112)),C112-B112,"-")</f>
        <v/>
      </c>
      <c r="E112" s="47">
        <f>-E106+NPV('가정'!$D$83,E110,E110,E110,E110,E110)</f>
        <v/>
      </c>
      <c r="F112" s="47">
        <f>-F106+NPV('가정'!$D$83,F110,F110,F110,F110,F110)</f>
        <v/>
      </c>
      <c r="G112" s="47">
        <f>IF(AND(ISNUMBER(E112),ISNUMBER(F112)),F112-E112,"-")</f>
        <v/>
      </c>
      <c r="H112" s="47">
        <f>-H106+NPV('가정'!$D$83,H110,H110,H110,H110,H110)</f>
        <v/>
      </c>
      <c r="I112" s="47">
        <f>-I106+NPV('가정'!$D$83,I110,I110,I110,I110,I110)</f>
        <v/>
      </c>
      <c r="J112" s="47">
        <f>IF(AND(ISNUMBER(H112),ISNUMBER(I112)),I112-H112,"-")</f>
        <v/>
      </c>
    </row>
    <row r="113">
      <c r="A113" s="44" t="inlineStr">
        <is>
          <t>단순 회수 기간 (년) - 비연동</t>
        </is>
      </c>
      <c r="B113" s="45">
        <f>IF(B110&gt;0,B107/B110,"회수 불가")</f>
        <v/>
      </c>
      <c r="C113" s="45">
        <f>IF(C110&gt;0,C107/C110,"회수 불가")</f>
        <v/>
      </c>
      <c r="D113" s="46">
        <f>IF(AND(ISNUMBER(B113),ISNUMBER(C113)),C113-B113,"-")</f>
        <v/>
      </c>
      <c r="E113" s="45">
        <f>IF(E110&gt;0,E107/E110,"회수 불가")</f>
        <v/>
      </c>
      <c r="F113" s="45">
        <f>IF(F110&gt;0,F107/F110,"회수 불가")</f>
        <v/>
      </c>
      <c r="G113" s="46">
        <f>IF(AND(ISNUMBER(E113),ISNUMBER(F113)),F113-E113,"-")</f>
        <v/>
      </c>
      <c r="H113" s="45">
        <f>IF(H110&gt;0,H107/H110,"회수 불가")</f>
        <v/>
      </c>
      <c r="I113" s="45">
        <f>IF(I110&gt;0,I107/I110,"회수 불가")</f>
        <v/>
      </c>
      <c r="J113" s="46">
        <f>IF(AND(ISNUMBER(H113),ISNUMBER(I113)),I113-H113,"-")</f>
        <v/>
      </c>
    </row>
    <row r="114">
      <c r="A114" s="44" t="inlineStr">
        <is>
          <t>5년 NPV (원) - 비연동</t>
        </is>
      </c>
      <c r="B114" s="47">
        <f>-B107+NPV('가정'!$D$83,B110,B110,B110,B110,B110)</f>
        <v/>
      </c>
      <c r="C114" s="47">
        <f>-C107+NPV('가정'!$D$83,C110,C110,C110,C110,C110)</f>
        <v/>
      </c>
      <c r="D114" s="47">
        <f>IF(AND(ISNUMBER(B114),ISNUMBER(C114)),C114-B114,"-")</f>
        <v/>
      </c>
      <c r="E114" s="47">
        <f>-E107+NPV('가정'!$D$83,E110,E110,E110,E110,E110)</f>
        <v/>
      </c>
      <c r="F114" s="47">
        <f>-F107+NPV('가정'!$D$83,F110,F110,F110,F110,F110)</f>
        <v/>
      </c>
      <c r="G114" s="47">
        <f>IF(AND(ISNUMBER(E114),ISNUMBER(F114)),F114-E114,"-")</f>
        <v/>
      </c>
      <c r="H114" s="47">
        <f>-H107+NPV('가정'!$D$83,H110,H110,H110,H110,H110)</f>
        <v/>
      </c>
      <c r="I114" s="47">
        <f>-I107+NPV('가정'!$D$83,I110,I110,I110,I110,I110)</f>
        <v/>
      </c>
      <c r="J114" s="47">
        <f>IF(AND(ISNUMBER(H114),ISNUMBER(I114)),I114-H114,"-")</f>
        <v/>
      </c>
    </row>
    <row r="115" ht="32" customHeight="1">
      <c r="A115" s="2" t="inlineStr">
        <is>
          <t>기준 확인: 기본(f2·20%) $23,000 열의 회수·NPV가 계산 시트 기본 열과 같은가 (가정 D7=2일 때만 해당)</t>
        </is>
      </c>
      <c r="E115">
        <f>IF('가정'!$D$7=2,IF(AND(ABS(E112-'계산'!C59)&lt;1,ABS(E111-'계산'!C56)&lt;0.0005),"일치","불일치"),"선택 아님")</f>
        <v/>
      </c>
    </row>
    <row r="116" ht="32" customHeight="1">
      <c r="A116" s="2" t="inlineStr">
        <is>
          <t>손 단가가 5년 NPV에 주는 폭 (기본 f2·20%, 연동, 백만 원) 대 1절 최대 변수 폭</t>
        </is>
      </c>
      <c r="E116" s="13">
        <f>ABS(G112)/1000000</f>
        <v/>
      </c>
      <c r="F116">
        <f>"1절 최대 폭 "&amp;TEXT(MAX($F$9:$F$17),"#,##0")&amp;" 백만 원"</f>
        <v/>
      </c>
    </row>
  </sheetData>
  <mergeCells count="13">
    <mergeCell ref="A74:H74"/>
    <mergeCell ref="A67:H67"/>
    <mergeCell ref="A93:J93"/>
    <mergeCell ref="A2:I2"/>
    <mergeCell ref="B94:D94"/>
    <mergeCell ref="H94:J94"/>
    <mergeCell ref="A82:H82"/>
    <mergeCell ref="A60:H60"/>
    <mergeCell ref="A41:H41"/>
    <mergeCell ref="A5:E5"/>
    <mergeCell ref="A6:E6"/>
    <mergeCell ref="A22:H22"/>
    <mergeCell ref="E94:G94"/>
  </mergeCells>
  <conditionalFormatting sqref="B24:D28">
    <cfRule type="expression" priority="1" dxfId="0">
      <formula>AND(ISNUMBER(B24),B24&lt;=5)</formula>
    </cfRule>
  </conditionalFormatting>
  <conditionalFormatting sqref="B43:E47">
    <cfRule type="expression" priority="2" dxfId="0">
      <formula>AND(ISNUMBER(B43),B43&lt;=5)</formula>
    </cfRule>
  </conditionalFormatting>
  <conditionalFormatting sqref="B52:E56">
    <cfRule type="expression" priority="3" dxfId="0">
      <formula>AND(ISNUMBER(B52),B52&lt;=5)</formula>
    </cfRule>
  </conditionalFormatting>
  <conditionalFormatting sqref="B62:E63">
    <cfRule type="expression" priority="4" dxfId="0">
      <formula>AND(ISNUMBER(B62),B62&lt;=5)</formula>
    </cfRule>
  </conditionalFormatting>
  <conditionalFormatting sqref="B69:E70">
    <cfRule type="expression" priority="5" dxfId="0">
      <formula>AND(ISNUMBER(B69),B69&lt;=5)</formula>
    </cfRule>
  </conditionalFormatting>
  <conditionalFormatting sqref="B76:C78">
    <cfRule type="expression" priority="6" dxfId="0">
      <formula>AND(ISNUMBER(B76),B76&lt;=5)</formula>
    </cfRule>
  </conditionalFormatting>
  <conditionalFormatting sqref="B84:F89">
    <cfRule type="expression" priority="7" dxfId="0">
      <formula>AND(ISNUMBER(B84),B84&lt;=5)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54" customWidth="1" min="1" max="1"/>
    <col width="7" customWidth="1" min="2" max="2"/>
    <col width="18" customWidth="1" min="3" max="3"/>
    <col width="18" customWidth="1" min="4" max="4"/>
    <col width="14" customWidth="1" min="5" max="5"/>
    <col width="9" customWidth="1" min="6" max="6"/>
    <col width="16" customWidth="1" min="7" max="7"/>
    <col width="60" customWidth="1" min="8" max="8"/>
  </cols>
  <sheetData>
    <row r="1">
      <c r="A1" s="1" t="inlineStr">
        <is>
          <t>검산 - 시트 수식 결과 vs 별도 Python 계산 vs 연구 문서 값</t>
        </is>
      </c>
    </row>
    <row r="2" ht="40" customHeight="1">
      <c r="A2" s="2" t="inlineStr">
        <is>
          <t>'Python 독립 계산'은 .venv/bin/python으로 시트와 별개의 코드로 계산해 붙여 넣은 숫자(수식 아님). '시트 수식'은 계산·가정 시트 링크. 차이가 허용오차(년 0.0005, 원 1,000원) 안이면 일치. '문서 값'은 research/q7, case/analysis.md 7.5절, research/q8의 인용값(반올림)이다.</t>
        </is>
      </c>
    </row>
    <row r="4">
      <c r="A4" s="4" t="inlineStr">
        <is>
          <t>검산 항목</t>
        </is>
      </c>
      <c r="B4" s="4" t="inlineStr">
        <is>
          <t>단위</t>
        </is>
      </c>
      <c r="C4" s="4" t="inlineStr">
        <is>
          <t>Python 독립 계산</t>
        </is>
      </c>
      <c r="D4" s="4" t="inlineStr">
        <is>
          <t>시트 수식</t>
        </is>
      </c>
      <c r="E4" s="4" t="inlineStr">
        <is>
          <t>차이</t>
        </is>
      </c>
      <c r="F4" s="4" t="inlineStr">
        <is>
          <t>판정</t>
        </is>
      </c>
      <c r="G4" s="4" t="inlineStr">
        <is>
          <t>문서 값 (반올림)</t>
        </is>
      </c>
      <c r="H4" s="4" t="inlineStr">
        <is>
          <t>문서 출처</t>
        </is>
      </c>
    </row>
    <row r="5">
      <c r="A5" s="3" t="inlineStr">
        <is>
          <t>A. 인건비 환산 (Q8 5절 시나리오)</t>
        </is>
      </c>
    </row>
    <row r="6">
      <c r="A6" t="inlineStr">
        <is>
          <t>연 인건비/인 - 하한</t>
        </is>
      </c>
      <c r="B6" t="inlineStr">
        <is>
          <t>원</t>
        </is>
      </c>
      <c r="C6" s="13" t="n">
        <v>31990915.5544</v>
      </c>
      <c r="D6" s="13">
        <f>'계산'!C13</f>
        <v/>
      </c>
      <c r="E6" s="13">
        <f>D6-C6</f>
        <v/>
      </c>
      <c r="F6">
        <f>IF(ABS(E6)&lt;=1000,"일치","불일치")</f>
        <v/>
      </c>
      <c r="G6" s="13" t="n">
        <v>31990907</v>
      </c>
      <c r="H6" t="inlineStr">
        <is>
          <t>research/q8-wage-inputs.md 5절</t>
        </is>
      </c>
    </row>
    <row r="7">
      <c r="A7" t="inlineStr">
        <is>
          <t>연 인건비/인 - 기본</t>
        </is>
      </c>
      <c r="B7" t="inlineStr">
        <is>
          <t>원</t>
        </is>
      </c>
      <c r="C7" s="13" t="n">
        <v>63764449.137675</v>
      </c>
      <c r="D7" s="13">
        <f>'계산'!D13</f>
        <v/>
      </c>
      <c r="E7" s="13">
        <f>D7-C7</f>
        <v/>
      </c>
      <c r="F7">
        <f>IF(ABS(E7)&lt;=1000,"일치","불일치")</f>
        <v/>
      </c>
      <c r="G7" s="13" t="n">
        <v>63771373</v>
      </c>
      <c r="H7" t="inlineStr">
        <is>
          <t>research/q8-wage-inputs.md 5절</t>
        </is>
      </c>
    </row>
    <row r="8">
      <c r="A8" t="inlineStr">
        <is>
          <t>연 인건비/인 - 상한</t>
        </is>
      </c>
      <c r="B8" t="inlineStr">
        <is>
          <t>원</t>
        </is>
      </c>
      <c r="C8" s="13" t="n">
        <v>74326312.0540024</v>
      </c>
      <c r="D8" s="13">
        <f>'계산'!E13</f>
        <v/>
      </c>
      <c r="E8" s="13">
        <f>D8-C8</f>
        <v/>
      </c>
      <c r="F8">
        <f>IF(ABS(E8)&lt;=1000,"일치","불일치")</f>
        <v/>
      </c>
      <c r="G8" s="13" t="n">
        <v>74331947</v>
      </c>
      <c r="H8" t="inlineStr">
        <is>
          <t>research/q8-wage-inputs.md 5절</t>
        </is>
      </c>
    </row>
    <row r="9">
      <c r="A9" t="inlineStr">
        <is>
          <t>A2. 문서 값(Q8 5절)과 시트 값의 상대 차이: 하한/기본/상한 (%)</t>
        </is>
      </c>
      <c r="C9" s="40">
        <f>'계산'!C13/31990907-1</f>
        <v/>
      </c>
      <c r="D9" s="40">
        <f>'계산'!D13/63771373-1</f>
        <v/>
      </c>
      <c r="E9" s="40">
        <f>'계산'!E13/74331947-1</f>
        <v/>
      </c>
      <c r="H9" t="inlineStr">
        <is>
          <t>Q8 문서는 야간조 계수를 295.7로 반올림(시트는 209+0.5x173.3=295.65). 차이는 0.01% 안팎</t>
        </is>
      </c>
    </row>
    <row r="10">
      <c r="A10" s="3" t="inlineStr">
        <is>
          <t>B. Q7 재현 (구 가정: 인건비 4,700만 원, 유지보수 하드웨어 10%, 대체 1.9명)</t>
        </is>
      </c>
    </row>
    <row r="11">
      <c r="A11" t="inlineStr">
        <is>
          <t>회수 기간: N=1 손 전체 (f=0.5, 100%)</t>
        </is>
      </c>
      <c r="B11" t="inlineStr">
        <is>
          <t>년</t>
        </is>
      </c>
      <c r="C11" s="25" t="n">
        <v>10.59955842318493</v>
      </c>
      <c r="D11" s="25">
        <f>'계산'!L56</f>
        <v/>
      </c>
      <c r="E11" s="41">
        <f>IF(AND(ISNUMBER(C11),ISNUMBER(D11)),D11-C11,IF(C11=D11,0,999))</f>
        <v/>
      </c>
      <c r="F11">
        <f>IF(ABS(E11)&lt;=0.0005,"일치","불일치")</f>
        <v/>
      </c>
      <c r="G11" s="25" t="n">
        <v>10.6</v>
      </c>
      <c r="H11" t="inlineStr">
        <is>
          <t>Q7 6-2a, analysis.md 7.5절</t>
        </is>
      </c>
    </row>
    <row r="12">
      <c r="A12" t="inlineStr">
        <is>
          <t>회수 기간: N=2 손 전체 (f=1, 100%)</t>
        </is>
      </c>
      <c r="B12" t="inlineStr">
        <is>
          <t>년</t>
        </is>
      </c>
      <c r="C12" s="25" t="n">
        <v>77.25042962037182</v>
      </c>
      <c r="D12" s="25">
        <f>'계산'!M56</f>
        <v/>
      </c>
      <c r="E12" s="41">
        <f>IF(AND(ISNUMBER(C12),ISNUMBER(D12)),D12-C12,IF(C12=D12,0,999))</f>
        <v/>
      </c>
      <c r="F12">
        <f>IF(ABS(E12)&lt;=0.0005,"일치","불일치")</f>
        <v/>
      </c>
      <c r="G12" s="25" t="n">
        <v>77.3</v>
      </c>
      <c r="H12" t="inlineStr">
        <is>
          <t>Q7 6-2a (analysis 7.5절 약 77)</t>
        </is>
      </c>
    </row>
    <row r="13">
      <c r="A13" t="inlineStr">
        <is>
          <t>회수 기간: 교체비 0</t>
        </is>
      </c>
      <c r="B13" t="inlineStr">
        <is>
          <t>년</t>
        </is>
      </c>
      <c r="C13" s="25" t="n">
        <v>5.690153162794444</v>
      </c>
      <c r="D13" s="25">
        <f>'계산'!N56</f>
        <v/>
      </c>
      <c r="E13" s="41">
        <f>IF(AND(ISNUMBER(C13),ISNUMBER(D13)),D13-C13,IF(C13=D13,0,999))</f>
        <v/>
      </c>
      <c r="F13">
        <f>IF(ABS(E13)&lt;=0.0005,"일치","불일치")</f>
        <v/>
      </c>
      <c r="G13" s="25" t="n">
        <v>5.7</v>
      </c>
      <c r="H13" t="inlineStr">
        <is>
          <t>Q7 6-2a, analysis.md 7.5절</t>
        </is>
      </c>
    </row>
    <row r="14">
      <c r="A14" t="inlineStr">
        <is>
          <t>회수 기간: N=2 모듈 20% (f=1)</t>
        </is>
      </c>
      <c r="B14" t="inlineStr">
        <is>
          <t>년</t>
        </is>
      </c>
      <c r="C14" s="25" t="n">
        <v>6.984082145732405</v>
      </c>
      <c r="D14" s="25">
        <f>'계산'!O56</f>
        <v/>
      </c>
      <c r="E14" s="41">
        <f>IF(AND(ISNUMBER(C14),ISNUMBER(D14)),D14-C14,IF(C14=D14,0,999))</f>
        <v/>
      </c>
      <c r="F14">
        <f>IF(ABS(E14)&lt;=0.0005,"일치","불일치")</f>
        <v/>
      </c>
      <c r="G14" s="25" t="n">
        <v>7</v>
      </c>
      <c r="H14" t="inlineStr">
        <is>
          <t>Q7 6-2a</t>
        </is>
      </c>
    </row>
    <row r="15">
      <c r="A15" t="inlineStr">
        <is>
          <t>회수 기간: N=4 모듈 20% (f=2, 기본 시나리오 후보)</t>
        </is>
      </c>
      <c r="B15" t="inlineStr">
        <is>
          <t>년</t>
        </is>
      </c>
      <c r="C15" s="25" t="n">
        <v>9.039688488327453</v>
      </c>
      <c r="D15" s="25">
        <f>'계산'!P56</f>
        <v/>
      </c>
      <c r="E15" s="41">
        <f>IF(AND(ISNUMBER(C15),ISNUMBER(D15)),D15-C15,IF(C15=D15,0,999))</f>
        <v/>
      </c>
      <c r="F15">
        <f>IF(ABS(E15)&lt;=0.0005,"일치","불일치")</f>
        <v/>
      </c>
      <c r="G15" s="25" t="n">
        <v>9</v>
      </c>
      <c r="H15" t="inlineStr">
        <is>
          <t>Q7 6-2a, 6절</t>
        </is>
      </c>
    </row>
    <row r="16">
      <c r="A16" t="inlineStr">
        <is>
          <t>회수 기간: 3교대 N=6 모듈 20% (f=2 x1.5)</t>
        </is>
      </c>
      <c r="B16" t="inlineStr">
        <is>
          <t>년</t>
        </is>
      </c>
      <c r="C16" s="25" t="n">
        <v>5.237386602551544</v>
      </c>
      <c r="D16" s="25">
        <f>'계산'!Q56</f>
        <v/>
      </c>
      <c r="E16" s="41">
        <f>IF(AND(ISNUMBER(C16),ISNUMBER(D16)),D16-C16,IF(C16=D16,0,999))</f>
        <v/>
      </c>
      <c r="F16">
        <f>IF(ABS(E16)&lt;=0.0005,"일치","불일치")</f>
        <v/>
      </c>
      <c r="G16" s="25" t="n">
        <v>5.2</v>
      </c>
      <c r="H16" t="inlineStr">
        <is>
          <t>Q7 6-2b</t>
        </is>
      </c>
    </row>
    <row r="17">
      <c r="A17" t="inlineStr">
        <is>
          <t>회수 기간: 3교대 교체비 0</t>
        </is>
      </c>
      <c r="B17" t="inlineStr">
        <is>
          <t>년</t>
        </is>
      </c>
      <c r="C17" s="25" t="n">
        <v>3.464843900541995</v>
      </c>
      <c r="D17" s="25">
        <f>'계산'!R56</f>
        <v/>
      </c>
      <c r="E17" s="41">
        <f>IF(AND(ISNUMBER(C17),ISNUMBER(D17)),D17-C17,IF(C17=D17,0,999))</f>
        <v/>
      </c>
      <c r="F17">
        <f>IF(ABS(E17)&lt;=0.0005,"일치","불일치")</f>
        <v/>
      </c>
      <c r="G17" s="25" t="n">
        <v>3.5</v>
      </c>
      <c r="H17" t="inlineStr">
        <is>
          <t>analysis.md 7.5절</t>
        </is>
      </c>
    </row>
    <row r="18">
      <c r="A18" t="inlineStr">
        <is>
          <t>회수 기간: 속도비 0.5 교체비 0</t>
        </is>
      </c>
      <c r="B18" t="inlineStr">
        <is>
          <t>년</t>
        </is>
      </c>
      <c r="C18" s="25" t="n">
        <v>15.90555993373756</v>
      </c>
      <c r="D18" s="25">
        <f>'계산'!S56</f>
        <v/>
      </c>
      <c r="E18" s="41">
        <f>IF(AND(ISNUMBER(C18),ISNUMBER(D18)),D18-C18,IF(C18=D18,0,999))</f>
        <v/>
      </c>
      <c r="F18">
        <f>IF(ABS(E18)&lt;=0.0005,"일치","불일치")</f>
        <v/>
      </c>
      <c r="G18" s="25" t="n">
        <v>15.9</v>
      </c>
      <c r="H18" t="inlineStr">
        <is>
          <t>analysis.md 7.5절 (PoC 게이트)</t>
        </is>
      </c>
    </row>
    <row r="19">
      <c r="A19" t="inlineStr">
        <is>
          <t>연 순절감: 교체비 0 (원)</t>
        </is>
      </c>
      <c r="B19" t="inlineStr">
        <is>
          <t>원</t>
        </is>
      </c>
      <c r="C19" s="13" t="n">
        <v>69520800</v>
      </c>
      <c r="D19" s="13">
        <f>'계산'!N55</f>
        <v/>
      </c>
      <c r="E19" s="13">
        <f>D19-C19</f>
        <v/>
      </c>
      <c r="F19">
        <f>IF(ABS(E19)&lt;=1000,"일치","불일치")</f>
        <v/>
      </c>
      <c r="G19" s="13" t="n">
        <v>69520000</v>
      </c>
      <c r="H19" t="inlineStr">
        <is>
          <t>analysis.md 7.5절 '6,952만 원'</t>
        </is>
      </c>
    </row>
    <row r="20">
      <c r="A20" t="inlineStr">
        <is>
          <t>5년 회수 필요 연 순절감 (원)</t>
        </is>
      </c>
      <c r="B20" t="inlineStr">
        <is>
          <t>원</t>
        </is>
      </c>
      <c r="C20" s="13" t="n">
        <v>79116800</v>
      </c>
      <c r="D20" s="13">
        <f>'계산'!C28</f>
        <v/>
      </c>
      <c r="E20" s="13">
        <f>D20-C20</f>
        <v/>
      </c>
      <c r="F20">
        <f>IF(ABS(E20)&lt;=1000,"일치","불일치")</f>
        <v/>
      </c>
      <c r="G20" s="13" t="n">
        <v>79116800</v>
      </c>
      <c r="H20" t="inlineStr">
        <is>
          <t>analysis.md 7.5절 '약 7,912만 원'</t>
        </is>
      </c>
    </row>
    <row r="21">
      <c r="A21" t="inlineStr">
        <is>
          <t>총 투자비 (원)</t>
        </is>
      </c>
      <c r="B21" t="inlineStr">
        <is>
          <t>원</t>
        </is>
      </c>
      <c r="C21" s="13" t="n">
        <v>395584000</v>
      </c>
      <c r="D21" s="13">
        <f>'계산'!C27</f>
        <v/>
      </c>
      <c r="E21" s="13">
        <f>D21-C21</f>
        <v/>
      </c>
      <c r="F21">
        <f>IF(ABS(E21)&lt;=1,"일치","불일치")</f>
        <v/>
      </c>
      <c r="G21" s="13" t="n">
        <v>395584000</v>
      </c>
      <c r="H21" t="inlineStr">
        <is>
          <t>analysis.md 7.3·7.5절</t>
        </is>
      </c>
    </row>
    <row r="22">
      <c r="A22" s="3" t="inlineStr">
        <is>
          <t>C. 신규 가정(Q8 인건비 + Q7 유지보수 분리) 시나리오 - 시트 수식 대 Python</t>
        </is>
      </c>
    </row>
    <row r="23">
      <c r="A23" t="inlineStr">
        <is>
          <t>기본: 회수 기간</t>
        </is>
      </c>
      <c r="B23" t="inlineStr">
        <is>
          <t>년</t>
        </is>
      </c>
      <c r="C23" s="25" t="n">
        <v>4.49241935886812</v>
      </c>
      <c r="D23" s="25">
        <f>'계산'!C56</f>
        <v/>
      </c>
      <c r="E23" s="41">
        <f>IF(AND(ISNUMBER(C23),ISNUMBER(D23)),D23-C23,IF(C23=D23,0,999))</f>
        <v/>
      </c>
      <c r="F23">
        <f>IF(ABS(E23)&lt;=0.0005,"일치","불일치")</f>
        <v/>
      </c>
      <c r="H23" t="inlineStr">
        <is>
          <t>문서 값 없음(신규 가정)</t>
        </is>
      </c>
    </row>
    <row r="24">
      <c r="A24" t="inlineStr">
        <is>
          <t>기본: 5년 NPV</t>
        </is>
      </c>
      <c r="B24" t="inlineStr">
        <is>
          <t>원</t>
        </is>
      </c>
      <c r="C24" s="13" t="n">
        <v>-44002350.75133204</v>
      </c>
      <c r="D24" s="13">
        <f>'계산'!C59</f>
        <v/>
      </c>
      <c r="E24" s="13">
        <f>D24-C24</f>
        <v/>
      </c>
      <c r="F24">
        <f>IF(ABS(E24)&lt;=1000,"일치","불일치")</f>
        <v/>
      </c>
      <c r="H24" t="inlineStr">
        <is>
          <t>문서 값 없음(신규 가정)</t>
        </is>
      </c>
    </row>
    <row r="25">
      <c r="A25" t="inlineStr">
        <is>
          <t>인건비 하한: 회수 기간</t>
        </is>
      </c>
      <c r="B25" t="inlineStr">
        <is>
          <t>년</t>
        </is>
      </c>
      <c r="C25" s="25" t="n">
        <v>14.28813965601808</v>
      </c>
      <c r="D25" s="25">
        <f>'계산'!D56</f>
        <v/>
      </c>
      <c r="E25" s="41">
        <f>IF(AND(ISNUMBER(C25),ISNUMBER(D25)),D25-C25,IF(C25=D25,0,999))</f>
        <v/>
      </c>
      <c r="F25">
        <f>IF(ABS(E25)&lt;=0.0005,"일치","불일치")</f>
        <v/>
      </c>
      <c r="H25" t="inlineStr">
        <is>
          <t>문서 값 없음(신규 가정)</t>
        </is>
      </c>
    </row>
    <row r="26">
      <c r="A26" t="inlineStr">
        <is>
          <t>인건비 하한: 5년 NPV</t>
        </is>
      </c>
      <c r="B26" t="inlineStr">
        <is>
          <t>원</t>
        </is>
      </c>
      <c r="C26" s="13" t="n">
        <v>-285041113.0089535</v>
      </c>
      <c r="D26" s="13">
        <f>'계산'!D59</f>
        <v/>
      </c>
      <c r="E26" s="13">
        <f>D26-C26</f>
        <v/>
      </c>
      <c r="F26">
        <f>IF(ABS(E26)&lt;=1000,"일치","불일치")</f>
        <v/>
      </c>
      <c r="H26" t="inlineStr">
        <is>
          <t>문서 값 없음(신규 가정)</t>
        </is>
      </c>
    </row>
    <row r="27">
      <c r="A27" t="inlineStr">
        <is>
          <t>인건비 상한: 회수 기간</t>
        </is>
      </c>
      <c r="B27" t="inlineStr">
        <is>
          <t>년</t>
        </is>
      </c>
      <c r="C27" s="25" t="n">
        <v>3.658633372807671</v>
      </c>
      <c r="D27" s="25">
        <f>'계산'!E56</f>
        <v/>
      </c>
      <c r="E27" s="41">
        <f>IF(AND(ISNUMBER(C27),ISNUMBER(D27)),D27-C27,IF(C27=D27,0,999))</f>
        <v/>
      </c>
      <c r="F27">
        <f>IF(ABS(E27)&lt;=0.0005,"일치","불일치")</f>
        <v/>
      </c>
      <c r="H27" t="inlineStr">
        <is>
          <t>문서 값 없음(신규 가정)</t>
        </is>
      </c>
    </row>
    <row r="28">
      <c r="A28" t="inlineStr">
        <is>
          <t>인건비 상한: 5년 NPV</t>
        </is>
      </c>
      <c r="B28" t="inlineStr">
        <is>
          <t>원</t>
        </is>
      </c>
      <c r="C28" s="13" t="n">
        <v>36121515.79356807</v>
      </c>
      <c r="D28" s="13">
        <f>'계산'!E59</f>
        <v/>
      </c>
      <c r="E28" s="13">
        <f>D28-C28</f>
        <v/>
      </c>
      <c r="F28">
        <f>IF(ABS(E28)&lt;=1000,"일치","불일치")</f>
        <v/>
      </c>
      <c r="H28" t="inlineStr">
        <is>
          <t>문서 값 없음(신규 가정)</t>
        </is>
      </c>
    </row>
    <row r="29">
      <c r="A29" t="inlineStr">
        <is>
          <t>손 교체 낙관: 회수 기간</t>
        </is>
      </c>
      <c r="B29" t="inlineStr">
        <is>
          <t>년</t>
        </is>
      </c>
      <c r="C29" s="25" t="n">
        <v>3.919160833925549</v>
      </c>
      <c r="D29" s="25">
        <f>'계산'!F56</f>
        <v/>
      </c>
      <c r="E29" s="41">
        <f>IF(AND(ISNUMBER(C29),ISNUMBER(D29)),D29-C29,IF(C29=D29,0,999))</f>
        <v/>
      </c>
      <c r="F29">
        <f>IF(ABS(E29)&lt;=0.0005,"일치","불일치")</f>
        <v/>
      </c>
      <c r="H29" t="inlineStr">
        <is>
          <t>문서 값 없음(신규 가정)</t>
        </is>
      </c>
    </row>
    <row r="30">
      <c r="A30" t="inlineStr">
        <is>
          <t>손 교체 낙관: 5년 NPV</t>
        </is>
      </c>
      <c r="B30" t="inlineStr">
        <is>
          <t>원</t>
        </is>
      </c>
      <c r="C30" s="13" t="n">
        <v>7423754.526233673</v>
      </c>
      <c r="D30" s="13">
        <f>'계산'!F59</f>
        <v/>
      </c>
      <c r="E30" s="13">
        <f>D30-C30</f>
        <v/>
      </c>
      <c r="F30">
        <f>IF(ABS(E30)&lt;=1000,"일치","불일치")</f>
        <v/>
      </c>
      <c r="H30" t="inlineStr">
        <is>
          <t>문서 값 없음(신규 가정)</t>
        </is>
      </c>
    </row>
    <row r="31">
      <c r="A31" t="inlineStr">
        <is>
          <t>손 교체 보수: 회수 기간</t>
        </is>
      </c>
      <c r="B31" t="inlineStr">
        <is>
          <t>년</t>
        </is>
      </c>
      <c r="C31" s="25" t="inlineStr">
        <is>
          <t>회수 불가</t>
        </is>
      </c>
      <c r="D31" s="25">
        <f>'계산'!G56</f>
        <v/>
      </c>
      <c r="E31" s="41">
        <f>IF(AND(ISNUMBER(C31),ISNUMBER(D31)),D31-C31,IF(C31=D31,0,999))</f>
        <v/>
      </c>
      <c r="F31">
        <f>IF(ABS(E31)&lt;=0.0005,"일치","불일치")</f>
        <v/>
      </c>
      <c r="H31" t="inlineStr">
        <is>
          <t>문서 값 없음(신규 가정)</t>
        </is>
      </c>
    </row>
    <row r="32">
      <c r="A32" t="inlineStr">
        <is>
          <t>손 교체 보수: 5년 NPV</t>
        </is>
      </c>
      <c r="B32" t="inlineStr">
        <is>
          <t>원</t>
        </is>
      </c>
      <c r="C32" s="13" t="n">
        <v>-455411192.9718579</v>
      </c>
      <c r="D32" s="13">
        <f>'계산'!G59</f>
        <v/>
      </c>
      <c r="E32" s="13">
        <f>D32-C32</f>
        <v/>
      </c>
      <c r="F32">
        <f>IF(ABS(E32)&lt;=1000,"일치","불일치")</f>
        <v/>
      </c>
      <c r="H32" t="inlineStr">
        <is>
          <t>문서 값 없음(신규 가정)</t>
        </is>
      </c>
    </row>
    <row r="33">
      <c r="A33" t="inlineStr">
        <is>
          <t>손 교체 없음: 회수 기간</t>
        </is>
      </c>
      <c r="B33" t="inlineStr">
        <is>
          <t>년</t>
        </is>
      </c>
      <c r="C33" s="25" t="n">
        <v>3.475648157004457</v>
      </c>
      <c r="D33" s="25">
        <f>'계산'!H56</f>
        <v/>
      </c>
      <c r="E33" s="41">
        <f>IF(AND(ISNUMBER(C33),ISNUMBER(D33)),D33-C33,IF(C33=D33,0,999))</f>
        <v/>
      </c>
      <c r="F33">
        <f>IF(ABS(E33)&lt;=0.0005,"일치","불일치")</f>
        <v/>
      </c>
      <c r="H33" t="inlineStr">
        <is>
          <t>문서 값 없음(신규 가정)</t>
        </is>
      </c>
    </row>
    <row r="34">
      <c r="A34" t="inlineStr">
        <is>
          <t>손 교체 없음: 5년 NPV</t>
        </is>
      </c>
      <c r="B34" t="inlineStr">
        <is>
          <t>원</t>
        </is>
      </c>
      <c r="C34" s="13" t="n">
        <v>58849859.80379939</v>
      </c>
      <c r="D34" s="13">
        <f>'계산'!H59</f>
        <v/>
      </c>
      <c r="E34" s="13">
        <f>D34-C34</f>
        <v/>
      </c>
      <c r="F34">
        <f>IF(ABS(E34)&lt;=1000,"일치","불일치")</f>
        <v/>
      </c>
      <c r="H34" t="inlineStr">
        <is>
          <t>문서 값 없음(신규 가정)</t>
        </is>
      </c>
    </row>
    <row r="35">
      <c r="A35" t="inlineStr">
        <is>
          <t>3교대: 회수 기간</t>
        </is>
      </c>
      <c r="B35" t="inlineStr">
        <is>
          <t>년</t>
        </is>
      </c>
      <c r="C35" s="25" t="n">
        <v>2.914017106152907</v>
      </c>
      <c r="D35" s="25">
        <f>'계산'!I56</f>
        <v/>
      </c>
      <c r="E35" s="41">
        <f>IF(AND(ISNUMBER(C35),ISNUMBER(D35)),D35-C35,IF(C35=D35,0,999))</f>
        <v/>
      </c>
      <c r="F35">
        <f>IF(ABS(E35)&lt;=0.0005,"일치","불일치")</f>
        <v/>
      </c>
      <c r="H35" t="inlineStr">
        <is>
          <t>문서 값 없음(신규 가정)</t>
        </is>
      </c>
    </row>
    <row r="36">
      <c r="A36" t="inlineStr">
        <is>
          <t>3교대: 5년 NPV</t>
        </is>
      </c>
      <c r="B36" t="inlineStr">
        <is>
          <t>원</t>
        </is>
      </c>
      <c r="C36" s="13" t="n">
        <v>146434852.2478147</v>
      </c>
      <c r="D36" s="13">
        <f>'계산'!I59</f>
        <v/>
      </c>
      <c r="E36" s="13">
        <f>D36-C36</f>
        <v/>
      </c>
      <c r="F36">
        <f>IF(ABS(E36)&lt;=1000,"일치","불일치")</f>
        <v/>
      </c>
      <c r="H36" t="inlineStr">
        <is>
          <t>문서 값 없음(신규 가정)</t>
        </is>
      </c>
    </row>
    <row r="37">
      <c r="A37" t="inlineStr">
        <is>
          <t>속도비 0.5: 회수 기간</t>
        </is>
      </c>
      <c r="B37" t="inlineStr">
        <is>
          <t>년</t>
        </is>
      </c>
      <c r="C37" s="25" t="n">
        <v>14.39551667766479</v>
      </c>
      <c r="D37" s="25">
        <f>'계산'!J56</f>
        <v/>
      </c>
      <c r="E37" s="41">
        <f>IF(AND(ISNUMBER(C37),ISNUMBER(D37)),D37-C37,IF(C37=D37,0,999))</f>
        <v/>
      </c>
      <c r="F37">
        <f>IF(ABS(E37)&lt;=0.0005,"일치","불일치")</f>
        <v/>
      </c>
      <c r="H37" t="inlineStr">
        <is>
          <t>문서 값 없음(신규 가정)</t>
        </is>
      </c>
    </row>
    <row r="38">
      <c r="A38" t="inlineStr">
        <is>
          <t>속도비 0.5: 5년 NPV</t>
        </is>
      </c>
      <c r="B38" t="inlineStr">
        <is>
          <t>원</t>
        </is>
      </c>
      <c r="C38" s="13" t="n">
        <v>-285865659.0280446</v>
      </c>
      <c r="D38" s="13">
        <f>'계산'!J59</f>
        <v/>
      </c>
      <c r="E38" s="13">
        <f>D38-C38</f>
        <v/>
      </c>
      <c r="F38">
        <f>IF(ABS(E38)&lt;=1000,"일치","불일치")</f>
        <v/>
      </c>
      <c r="H38" t="inlineStr">
        <is>
          <t>문서 값 없음(신규 가정)</t>
        </is>
      </c>
    </row>
    <row r="39">
      <c r="A39" t="inlineStr">
        <is>
          <t>속도비 0.25: 회수 기간</t>
        </is>
      </c>
      <c r="B39" t="inlineStr">
        <is>
          <t>년</t>
        </is>
      </c>
      <c r="C39" s="25" t="inlineStr">
        <is>
          <t>회수 불가</t>
        </is>
      </c>
      <c r="D39" s="25">
        <f>'계산'!K56</f>
        <v/>
      </c>
      <c r="E39" s="41">
        <f>IF(AND(ISNUMBER(C39),ISNUMBER(D39)),D39-C39,IF(C39=D39,0,999))</f>
        <v/>
      </c>
      <c r="F39">
        <f>IF(ABS(E39)&lt;=0.0005,"일치","불일치")</f>
        <v/>
      </c>
      <c r="H39" t="inlineStr">
        <is>
          <t>문서 값 없음(신규 가정)</t>
        </is>
      </c>
    </row>
    <row r="40">
      <c r="A40" t="inlineStr">
        <is>
          <t>속도비 0.25: 5년 NPV</t>
        </is>
      </c>
      <c r="B40" t="inlineStr">
        <is>
          <t>원</t>
        </is>
      </c>
      <c r="C40" s="13" t="n">
        <v>-406797313.1664008</v>
      </c>
      <c r="D40" s="13">
        <f>'계산'!K59</f>
        <v/>
      </c>
      <c r="E40" s="13">
        <f>D40-C40</f>
        <v/>
      </c>
      <c r="F40">
        <f>IF(ABS(E40)&lt;=1000,"일치","불일치")</f>
        <v/>
      </c>
      <c r="H40" t="inlineStr">
        <is>
          <t>문서 값 없음(신규 가정)</t>
        </is>
      </c>
    </row>
    <row r="42">
      <c r="A42" s="3" t="inlineStr">
        <is>
          <t>불일치 건수 (0이어야 함)</t>
        </is>
      </c>
      <c r="C42" s="3">
        <f>COUNTIF(F5:F40,"불일치")</f>
        <v/>
      </c>
    </row>
    <row r="44">
      <c r="A44" s="14" t="inlineStr">
        <is>
          <t>D. 손 단가 시나리오 (B8) - 민감도 시트 8절 vs Python 독립 계산, 허용오차 년 0.0005 / 원 1,000</t>
        </is>
      </c>
      <c r="H44" s="2" t="n"/>
    </row>
    <row r="45">
      <c r="A45" s="2" t="inlineStr">
        <is>
          <t>낙관 f1·20% $23,000 연동: 총 투자비</t>
        </is>
      </c>
      <c r="B45" t="inlineStr">
        <is>
          <t>원</t>
        </is>
      </c>
      <c r="C45" s="13" t="n">
        <v>395584000</v>
      </c>
      <c r="D45" s="13">
        <f>'민감도'!B106</f>
        <v/>
      </c>
      <c r="E45" s="13">
        <f>D45-C45</f>
        <v/>
      </c>
      <c r="F45">
        <f>IF(ABS(E45)&lt;=1000,"일치","불일치")</f>
        <v/>
      </c>
      <c r="H45" s="2" t="inlineStr">
        <is>
          <t>신규(B8), 문서 값 없음</t>
        </is>
      </c>
    </row>
    <row r="46">
      <c r="A46" s="2" t="inlineStr">
        <is>
          <t>낙관 f1·20% $23,000 연동: 회수 기간</t>
        </is>
      </c>
      <c r="B46" t="inlineStr">
        <is>
          <t>년</t>
        </is>
      </c>
      <c r="C46" s="41" t="n">
        <v>3.919160833925549</v>
      </c>
      <c r="D46" s="41">
        <f>'민감도'!B111</f>
        <v/>
      </c>
      <c r="E46" s="41">
        <f>IF(AND(ISNUMBER(C46),ISNUMBER(D46)),D46-C46,IF(C46=D46,0,999))</f>
        <v/>
      </c>
      <c r="F46">
        <f>IF(ABS(E46)&lt;=0.0005,"일치","불일치")</f>
        <v/>
      </c>
      <c r="H46" s="2" t="inlineStr">
        <is>
          <t>신규(B8), 문서 값 없음</t>
        </is>
      </c>
    </row>
    <row r="47">
      <c r="A47" s="2" t="inlineStr">
        <is>
          <t>낙관 f1·20% $23,000 연동: 5년 NPV</t>
        </is>
      </c>
      <c r="B47" t="inlineStr">
        <is>
          <t>원</t>
        </is>
      </c>
      <c r="C47" s="13" t="n">
        <v>7423754.526233673</v>
      </c>
      <c r="D47" s="13">
        <f>'민감도'!B112</f>
        <v/>
      </c>
      <c r="E47" s="13">
        <f>D47-C47</f>
        <v/>
      </c>
      <c r="F47">
        <f>IF(ABS(E47)&lt;=1000,"일치","불일치")</f>
        <v/>
      </c>
      <c r="H47" s="2" t="inlineStr">
        <is>
          <t>신규(B8), 문서 값 없음</t>
        </is>
      </c>
    </row>
    <row r="48">
      <c r="A48" s="2" t="inlineStr">
        <is>
          <t>낙관 f1·20% $23,000: 손 소모비</t>
        </is>
      </c>
      <c r="B48" t="inlineStr">
        <is>
          <t>원/년</t>
        </is>
      </c>
      <c r="C48" s="13" t="n">
        <v>12880000</v>
      </c>
      <c r="D48" s="13">
        <f>'민감도'!B108</f>
        <v/>
      </c>
      <c r="E48" s="13">
        <f>D48-C48</f>
        <v/>
      </c>
      <c r="F48">
        <f>IF(ABS(E48)&lt;=1000,"일치","불일치")</f>
        <v/>
      </c>
      <c r="H48" s="2" t="inlineStr">
        <is>
          <t>신규(B8), 문서 값 없음</t>
        </is>
      </c>
    </row>
    <row r="49">
      <c r="A49" s="2" t="inlineStr">
        <is>
          <t>낙관 f1·20% $7,500 연동: 총 투자비</t>
        </is>
      </c>
      <c r="B49" t="inlineStr">
        <is>
          <t>원</t>
        </is>
      </c>
      <c r="C49" s="13" t="n">
        <v>308784000</v>
      </c>
      <c r="D49" s="13">
        <f>'민감도'!C106</f>
        <v/>
      </c>
      <c r="E49" s="13">
        <f>D49-C49</f>
        <v/>
      </c>
      <c r="F49">
        <f>IF(ABS(E49)&lt;=1000,"일치","불일치")</f>
        <v/>
      </c>
      <c r="H49" s="2" t="inlineStr">
        <is>
          <t>신규(B8), 문서 값 없음</t>
        </is>
      </c>
    </row>
    <row r="50">
      <c r="A50" s="2" t="inlineStr">
        <is>
          <t>낙관 f1·20% $7,500 연동: 회수 기간</t>
        </is>
      </c>
      <c r="B50" t="inlineStr">
        <is>
          <t>년</t>
        </is>
      </c>
      <c r="C50" s="41" t="n">
        <v>2.816963768031659</v>
      </c>
      <c r="D50" s="41">
        <f>'민감도'!C111</f>
        <v/>
      </c>
      <c r="E50" s="41">
        <f>IF(AND(ISNUMBER(C50),ISNUMBER(D50)),D50-C50,IF(C50=D50,0,999))</f>
        <v/>
      </c>
      <c r="F50">
        <f>IF(ABS(E50)&lt;=0.0005,"일치","불일치")</f>
        <v/>
      </c>
      <c r="H50" s="2" t="inlineStr">
        <is>
          <t>신규(B8), 문서 값 없음</t>
        </is>
      </c>
    </row>
    <row r="51">
      <c r="A51" s="2" t="inlineStr">
        <is>
          <t>낙관 f1·20% $7,500 연동: 5년 NPV</t>
        </is>
      </c>
      <c r="B51" t="inlineStr">
        <is>
          <t>원</t>
        </is>
      </c>
      <c r="C51" s="13" t="n">
        <v>128880477.6480715</v>
      </c>
      <c r="D51" s="13">
        <f>'민감도'!C112</f>
        <v/>
      </c>
      <c r="E51" s="13">
        <f>D51-C51</f>
        <v/>
      </c>
      <c r="F51">
        <f>IF(ABS(E51)&lt;=1000,"일치","불일치")</f>
        <v/>
      </c>
      <c r="H51" s="2" t="inlineStr">
        <is>
          <t>신규(B8), 문서 값 없음</t>
        </is>
      </c>
    </row>
    <row r="52">
      <c r="A52" s="2" t="inlineStr">
        <is>
          <t>낙관 f1·20% $7,500 비연동: 총 투자비</t>
        </is>
      </c>
      <c r="B52" t="inlineStr">
        <is>
          <t>원</t>
        </is>
      </c>
      <c r="C52" s="13" t="n">
        <v>352184000</v>
      </c>
      <c r="D52" s="13">
        <f>'민감도'!C107</f>
        <v/>
      </c>
      <c r="E52" s="13">
        <f>D52-C52</f>
        <v/>
      </c>
      <c r="F52">
        <f>IF(ABS(E52)&lt;=1000,"일치","불일치")</f>
        <v/>
      </c>
      <c r="H52" s="2" t="inlineStr">
        <is>
          <t>신규(B8), 문서 값 없음</t>
        </is>
      </c>
    </row>
    <row r="53">
      <c r="A53" s="2" t="inlineStr">
        <is>
          <t>낙관 f1·20% $7,500 비연동: 회수 기간</t>
        </is>
      </c>
      <c r="B53" t="inlineStr">
        <is>
          <t>년</t>
        </is>
      </c>
      <c r="C53" s="41" t="n">
        <v>3.212891755014709</v>
      </c>
      <c r="D53" s="41">
        <f>'민감도'!C113</f>
        <v/>
      </c>
      <c r="E53" s="41">
        <f>IF(AND(ISNUMBER(C53),ISNUMBER(D53)),D53-C53,IF(C53=D53,0,999))</f>
        <v/>
      </c>
      <c r="F53">
        <f>IF(ABS(E53)&lt;=0.0005,"일치","불일치")</f>
        <v/>
      </c>
      <c r="H53" s="2" t="inlineStr">
        <is>
          <t>신규(B8), 문서 값 없음</t>
        </is>
      </c>
    </row>
    <row r="54">
      <c r="A54" s="2" t="inlineStr">
        <is>
          <t>낙관 f1·20% $7,500 비연동: 5년 NPV</t>
        </is>
      </c>
      <c r="B54" t="inlineStr">
        <is>
          <t>원</t>
        </is>
      </c>
      <c r="C54" s="13" t="n">
        <v>85480477.64807147</v>
      </c>
      <c r="D54" s="13">
        <f>'민감도'!C114</f>
        <v/>
      </c>
      <c r="E54" s="13">
        <f>D54-C54</f>
        <v/>
      </c>
      <c r="F54">
        <f>IF(ABS(E54)&lt;=1000,"일치","불일치")</f>
        <v/>
      </c>
      <c r="H54" s="2" t="inlineStr">
        <is>
          <t>신규(B8), 문서 값 없음</t>
        </is>
      </c>
    </row>
    <row r="55">
      <c r="A55" s="2" t="inlineStr">
        <is>
          <t>낙관 f1·20% $7,500: 손 소모비</t>
        </is>
      </c>
      <c r="B55" t="inlineStr">
        <is>
          <t>원/년</t>
        </is>
      </c>
      <c r="C55" s="13" t="n">
        <v>4200000</v>
      </c>
      <c r="D55" s="13">
        <f>'민감도'!C108</f>
        <v/>
      </c>
      <c r="E55" s="13">
        <f>D55-C55</f>
        <v/>
      </c>
      <c r="F55">
        <f>IF(ABS(E55)&lt;=1000,"일치","불일치")</f>
        <v/>
      </c>
      <c r="H55" s="2" t="inlineStr">
        <is>
          <t>신규(B8), 문서 값 없음</t>
        </is>
      </c>
    </row>
    <row r="56">
      <c r="A56" s="2" t="inlineStr">
        <is>
          <t>기본 f2·20% $23,000 연동: 총 투자비</t>
        </is>
      </c>
      <c r="B56" t="inlineStr">
        <is>
          <t>원</t>
        </is>
      </c>
      <c r="C56" s="13" t="n">
        <v>395584000</v>
      </c>
      <c r="D56" s="13">
        <f>'민감도'!E106</f>
        <v/>
      </c>
      <c r="E56" s="13">
        <f>D56-C56</f>
        <v/>
      </c>
      <c r="F56">
        <f>IF(ABS(E56)&lt;=1000,"일치","불일치")</f>
        <v/>
      </c>
      <c r="H56" s="2" t="inlineStr">
        <is>
          <t>신규(B8), 문서 값 없음</t>
        </is>
      </c>
    </row>
    <row r="57">
      <c r="A57" s="2" t="inlineStr">
        <is>
          <t>기본 f2·20% $23,000 연동: 회수 기간</t>
        </is>
      </c>
      <c r="B57" t="inlineStr">
        <is>
          <t>년</t>
        </is>
      </c>
      <c r="C57" s="41" t="n">
        <v>4.49241935886812</v>
      </c>
      <c r="D57" s="41">
        <f>'민감도'!E111</f>
        <v/>
      </c>
      <c r="E57" s="41">
        <f>IF(AND(ISNUMBER(C57),ISNUMBER(D57)),D57-C57,IF(C57=D57,0,999))</f>
        <v/>
      </c>
      <c r="F57">
        <f>IF(ABS(E57)&lt;=0.0005,"일치","불일치")</f>
        <v/>
      </c>
      <c r="H57" s="2" t="inlineStr">
        <is>
          <t>신규(B8), 문서 값 없음</t>
        </is>
      </c>
    </row>
    <row r="58">
      <c r="A58" s="2" t="inlineStr">
        <is>
          <t>기본 f2·20% $23,000 연동: 5년 NPV</t>
        </is>
      </c>
      <c r="B58" t="inlineStr">
        <is>
          <t>원</t>
        </is>
      </c>
      <c r="C58" s="13" t="n">
        <v>-44002350.75133204</v>
      </c>
      <c r="D58" s="13">
        <f>'민감도'!E112</f>
        <v/>
      </c>
      <c r="E58" s="13">
        <f>D58-C58</f>
        <v/>
      </c>
      <c r="F58">
        <f>IF(ABS(E58)&lt;=1000,"일치","불일치")</f>
        <v/>
      </c>
      <c r="H58" s="2" t="inlineStr">
        <is>
          <t>신규(B8), 문서 값 없음</t>
        </is>
      </c>
    </row>
    <row r="59">
      <c r="A59" s="2" t="inlineStr">
        <is>
          <t>기본 f2·20% $23,000: 손 소모비</t>
        </is>
      </c>
      <c r="B59" t="inlineStr">
        <is>
          <t>원/년</t>
        </is>
      </c>
      <c r="C59" s="13" t="n">
        <v>25760000</v>
      </c>
      <c r="D59" s="13">
        <f>'민감도'!E108</f>
        <v/>
      </c>
      <c r="E59" s="13">
        <f>D59-C59</f>
        <v/>
      </c>
      <c r="F59">
        <f>IF(ABS(E59)&lt;=1000,"일치","불일치")</f>
        <v/>
      </c>
      <c r="H59" s="2" t="inlineStr">
        <is>
          <t>신규(B8), 문서 값 없음</t>
        </is>
      </c>
    </row>
    <row r="60">
      <c r="A60" s="2" t="inlineStr">
        <is>
          <t>기본 f2·20% $7,500 연동: 총 투자비</t>
        </is>
      </c>
      <c r="B60" t="inlineStr">
        <is>
          <t>원</t>
        </is>
      </c>
      <c r="C60" s="13" t="n">
        <v>308784000</v>
      </c>
      <c r="D60" s="13">
        <f>'민감도'!F106</f>
        <v/>
      </c>
      <c r="E60" s="13">
        <f>D60-C60</f>
        <v/>
      </c>
      <c r="F60">
        <f>IF(ABS(E60)&lt;=1000,"일치","불일치")</f>
        <v/>
      </c>
      <c r="H60" s="2" t="inlineStr">
        <is>
          <t>신규(B8), 문서 값 없음</t>
        </is>
      </c>
    </row>
    <row r="61">
      <c r="A61" s="2" t="inlineStr">
        <is>
          <t>기본 f2·20% $7,500 연동: 회수 기간</t>
        </is>
      </c>
      <c r="B61" t="inlineStr">
        <is>
          <t>년</t>
        </is>
      </c>
      <c r="C61" s="41" t="n">
        <v>2.929197772302259</v>
      </c>
      <c r="D61" s="41">
        <f>'민감도'!F111</f>
        <v/>
      </c>
      <c r="E61" s="41">
        <f>IF(AND(ISNUMBER(C61),ISNUMBER(D61)),D61-C61,IF(C61=D61,0,999))</f>
        <v/>
      </c>
      <c r="F61">
        <f>IF(ABS(E61)&lt;=0.0005,"일치","불일치")</f>
        <v/>
      </c>
      <c r="H61" s="2" t="inlineStr">
        <is>
          <t>신규(B8), 문서 값 없음</t>
        </is>
      </c>
    </row>
    <row r="62">
      <c r="A62" s="2" t="inlineStr">
        <is>
          <t>기본 f2·20% $7,500 연동: 5년 NPV</t>
        </is>
      </c>
      <c r="B62" t="inlineStr">
        <is>
          <t>원</t>
        </is>
      </c>
      <c r="C62" s="13" t="n">
        <v>112111095.4923435</v>
      </c>
      <c r="D62" s="13">
        <f>'민감도'!F112</f>
        <v/>
      </c>
      <c r="E62" s="13">
        <f>D62-C62</f>
        <v/>
      </c>
      <c r="F62">
        <f>IF(ABS(E62)&lt;=1000,"일치","불일치")</f>
        <v/>
      </c>
      <c r="H62" s="2" t="inlineStr">
        <is>
          <t>신규(B8), 문서 값 없음</t>
        </is>
      </c>
    </row>
    <row r="63">
      <c r="A63" s="2" t="inlineStr">
        <is>
          <t>기본 f2·20% $7,500 비연동: 총 투자비</t>
        </is>
      </c>
      <c r="B63" t="inlineStr">
        <is>
          <t>원</t>
        </is>
      </c>
      <c r="C63" s="13" t="n">
        <v>352184000</v>
      </c>
      <c r="D63" s="13">
        <f>'민감도'!F107</f>
        <v/>
      </c>
      <c r="E63" s="13">
        <f>D63-C63</f>
        <v/>
      </c>
      <c r="F63">
        <f>IF(ABS(E63)&lt;=1000,"일치","불일치")</f>
        <v/>
      </c>
      <c r="H63" s="2" t="inlineStr">
        <is>
          <t>신규(B8), 문서 값 없음</t>
        </is>
      </c>
    </row>
    <row r="64">
      <c r="A64" s="2" t="inlineStr">
        <is>
          <t>기본 f2·20% $7,500 비연동: 회수 기간</t>
        </is>
      </c>
      <c r="B64" t="inlineStr">
        <is>
          <t>년</t>
        </is>
      </c>
      <c r="C64" s="41" t="n">
        <v>3.340900397172454</v>
      </c>
      <c r="D64" s="41">
        <f>'민감도'!F113</f>
        <v/>
      </c>
      <c r="E64" s="41">
        <f>IF(AND(ISNUMBER(C64),ISNUMBER(D64)),D64-C64,IF(C64=D64,0,999))</f>
        <v/>
      </c>
      <c r="F64">
        <f>IF(ABS(E64)&lt;=0.0005,"일치","불일치")</f>
        <v/>
      </c>
      <c r="H64" s="2" t="inlineStr">
        <is>
          <t>신규(B8), 문서 값 없음</t>
        </is>
      </c>
    </row>
    <row r="65">
      <c r="A65" s="2" t="inlineStr">
        <is>
          <t>기본 f2·20% $7,500 비연동: 5년 NPV</t>
        </is>
      </c>
      <c r="B65" t="inlineStr">
        <is>
          <t>원</t>
        </is>
      </c>
      <c r="C65" s="13" t="n">
        <v>68711095.49234349</v>
      </c>
      <c r="D65" s="13">
        <f>'민감도'!F114</f>
        <v/>
      </c>
      <c r="E65" s="13">
        <f>D65-C65</f>
        <v/>
      </c>
      <c r="F65">
        <f>IF(ABS(E65)&lt;=1000,"일치","불일치")</f>
        <v/>
      </c>
      <c r="H65" s="2" t="inlineStr">
        <is>
          <t>신규(B8), 문서 값 없음</t>
        </is>
      </c>
    </row>
    <row r="66">
      <c r="A66" s="2" t="inlineStr">
        <is>
          <t>기본 f2·20% $7,500: 손 소모비</t>
        </is>
      </c>
      <c r="B66" t="inlineStr">
        <is>
          <t>원/년</t>
        </is>
      </c>
      <c r="C66" s="13" t="n">
        <v>8400000</v>
      </c>
      <c r="D66" s="13">
        <f>'민감도'!F108</f>
        <v/>
      </c>
      <c r="E66" s="13">
        <f>D66-C66</f>
        <v/>
      </c>
      <c r="F66">
        <f>IF(ABS(E66)&lt;=1000,"일치","불일치")</f>
        <v/>
      </c>
      <c r="H66" s="2" t="inlineStr">
        <is>
          <t>신규(B8), 문서 값 없음</t>
        </is>
      </c>
    </row>
    <row r="67">
      <c r="A67" s="2" t="inlineStr">
        <is>
          <t>보수 f2·100% $23,000 연동: 총 투자비</t>
        </is>
      </c>
      <c r="B67" t="inlineStr">
        <is>
          <t>원</t>
        </is>
      </c>
      <c r="C67" s="13" t="n">
        <v>395584000</v>
      </c>
      <c r="D67" s="13">
        <f>'민감도'!H106</f>
        <v/>
      </c>
      <c r="E67" s="13">
        <f>D67-C67</f>
        <v/>
      </c>
      <c r="F67">
        <f>IF(ABS(E67)&lt;=1000,"일치","불일치")</f>
        <v/>
      </c>
      <c r="H67" s="2" t="inlineStr">
        <is>
          <t>신규(B8), 문서 값 없음</t>
        </is>
      </c>
    </row>
    <row r="68">
      <c r="A68" s="2" t="inlineStr">
        <is>
          <t>보수 f2·100% $23,000 연동: 회수 기간</t>
        </is>
      </c>
      <c r="B68" t="inlineStr">
        <is>
          <t>년</t>
        </is>
      </c>
      <c r="C68" s="41" t="inlineStr">
        <is>
          <t>회수 불가</t>
        </is>
      </c>
      <c r="D68" s="41">
        <f>'민감도'!H111</f>
        <v/>
      </c>
      <c r="E68" s="41">
        <f>IF(AND(ISNUMBER(C68),ISNUMBER(D68)),D68-C68,IF(C68=D68,0,999))</f>
        <v/>
      </c>
      <c r="F68">
        <f>IF(ABS(E68)&lt;=0.0005,"일치","불일치")</f>
        <v/>
      </c>
      <c r="H68" s="2" t="inlineStr">
        <is>
          <t>신규(B8), 문서 값 없음</t>
        </is>
      </c>
    </row>
    <row r="69">
      <c r="A69" s="2" t="inlineStr">
        <is>
          <t>보수 f2·100% $23,000 연동: 5년 NPV</t>
        </is>
      </c>
      <c r="B69" t="inlineStr">
        <is>
          <t>원</t>
        </is>
      </c>
      <c r="C69" s="13" t="n">
        <v>-455411192.9718579</v>
      </c>
      <c r="D69" s="13">
        <f>'민감도'!H112</f>
        <v/>
      </c>
      <c r="E69" s="13">
        <f>D69-C69</f>
        <v/>
      </c>
      <c r="F69">
        <f>IF(ABS(E69)&lt;=1000,"일치","불일치")</f>
        <v/>
      </c>
      <c r="H69" s="2" t="inlineStr">
        <is>
          <t>신규(B8), 문서 값 없음</t>
        </is>
      </c>
    </row>
    <row r="70">
      <c r="A70" s="2" t="inlineStr">
        <is>
          <t>보수 f2·100% $23,000: 손 소모비</t>
        </is>
      </c>
      <c r="B70" t="inlineStr">
        <is>
          <t>원/년</t>
        </is>
      </c>
      <c r="C70" s="13" t="n">
        <v>128800000</v>
      </c>
      <c r="D70" s="13">
        <f>'민감도'!H108</f>
        <v/>
      </c>
      <c r="E70" s="13">
        <f>D70-C70</f>
        <v/>
      </c>
      <c r="F70">
        <f>IF(ABS(E70)&lt;=1000,"일치","불일치")</f>
        <v/>
      </c>
      <c r="H70" s="2" t="inlineStr">
        <is>
          <t>신규(B8), 문서 값 없음</t>
        </is>
      </c>
    </row>
    <row r="71">
      <c r="A71" s="2" t="inlineStr">
        <is>
          <t>보수 f2·100% $7,500 연동: 총 투자비</t>
        </is>
      </c>
      <c r="B71" t="inlineStr">
        <is>
          <t>원</t>
        </is>
      </c>
      <c r="C71" s="13" t="n">
        <v>308784000</v>
      </c>
      <c r="D71" s="13">
        <f>'민감도'!I106</f>
        <v/>
      </c>
      <c r="E71" s="13">
        <f>D71-C71</f>
        <v/>
      </c>
      <c r="F71">
        <f>IF(ABS(E71)&lt;=1000,"일치","불일치")</f>
        <v/>
      </c>
      <c r="H71" s="2" t="inlineStr">
        <is>
          <t>신규(B8), 문서 값 없음</t>
        </is>
      </c>
    </row>
    <row r="72">
      <c r="A72" s="2" t="inlineStr">
        <is>
          <t>보수 f2·100% $7,500 연동: 회수 기간</t>
        </is>
      </c>
      <c r="B72" t="inlineStr">
        <is>
          <t>년</t>
        </is>
      </c>
      <c r="C72" s="41" t="n">
        <v>4.299661057550559</v>
      </c>
      <c r="D72" s="41">
        <f>'민감도'!I111</f>
        <v/>
      </c>
      <c r="E72" s="41">
        <f>IF(AND(ISNUMBER(C72),ISNUMBER(D72)),D72-C72,IF(C72=D72,0,999))</f>
        <v/>
      </c>
      <c r="F72">
        <f>IF(ABS(E72)&lt;=0.0005,"일치","불일치")</f>
        <v/>
      </c>
      <c r="H72" s="2" t="inlineStr">
        <is>
          <t>신규(B8), 문서 값 없음</t>
        </is>
      </c>
    </row>
    <row r="73">
      <c r="A73" s="2" t="inlineStr">
        <is>
          <t>보수 f2·100% $7,500 연동: 5년 NPV</t>
        </is>
      </c>
      <c r="B73" t="inlineStr">
        <is>
          <t>원</t>
        </is>
      </c>
      <c r="C73" s="13" t="n">
        <v>-22043961.75348014</v>
      </c>
      <c r="D73" s="13">
        <f>'민감도'!I112</f>
        <v/>
      </c>
      <c r="E73" s="13">
        <f>D73-C73</f>
        <v/>
      </c>
      <c r="F73">
        <f>IF(ABS(E73)&lt;=1000,"일치","불일치")</f>
        <v/>
      </c>
      <c r="H73" s="2" t="inlineStr">
        <is>
          <t>신규(B8), 문서 값 없음</t>
        </is>
      </c>
    </row>
    <row r="74">
      <c r="A74" s="2" t="inlineStr">
        <is>
          <t>보수 f2·100% $7,500 비연동: 총 투자비</t>
        </is>
      </c>
      <c r="B74" t="inlineStr">
        <is>
          <t>원</t>
        </is>
      </c>
      <c r="C74" s="13" t="n">
        <v>352184000</v>
      </c>
      <c r="D74" s="13">
        <f>'민감도'!I107</f>
        <v/>
      </c>
      <c r="E74" s="13">
        <f>D74-C74</f>
        <v/>
      </c>
      <c r="F74">
        <f>IF(ABS(E74)&lt;=1000,"일치","불일치")</f>
        <v/>
      </c>
      <c r="H74" s="2" t="inlineStr">
        <is>
          <t>신규(B8), 문서 값 없음</t>
        </is>
      </c>
    </row>
    <row r="75">
      <c r="A75" s="2" t="inlineStr">
        <is>
          <t>보수 f2·100% $7,500 비연동: 회수 기간</t>
        </is>
      </c>
      <c r="B75" t="inlineStr">
        <is>
          <t>년</t>
        </is>
      </c>
      <c r="C75" s="41" t="n">
        <v>4.903984111522573</v>
      </c>
      <c r="D75" s="41">
        <f>'민감도'!I113</f>
        <v/>
      </c>
      <c r="E75" s="41">
        <f>IF(AND(ISNUMBER(C75),ISNUMBER(D75)),D75-C75,IF(C75=D75,0,999))</f>
        <v/>
      </c>
      <c r="F75">
        <f>IF(ABS(E75)&lt;=0.0005,"일치","불일치")</f>
        <v/>
      </c>
      <c r="H75" s="2" t="inlineStr">
        <is>
          <t>신규(B8), 문서 값 없음</t>
        </is>
      </c>
    </row>
    <row r="76">
      <c r="A76" s="2" t="inlineStr">
        <is>
          <t>보수 f2·100% $7,500 비연동: 5년 NPV</t>
        </is>
      </c>
      <c r="B76" t="inlineStr">
        <is>
          <t>원</t>
        </is>
      </c>
      <c r="C76" s="13" t="n">
        <v>-65443961.75348014</v>
      </c>
      <c r="D76" s="13">
        <f>'민감도'!I114</f>
        <v/>
      </c>
      <c r="E76" s="13">
        <f>D76-C76</f>
        <v/>
      </c>
      <c r="F76">
        <f>IF(ABS(E76)&lt;=1000,"일치","불일치")</f>
        <v/>
      </c>
      <c r="H76" s="2" t="inlineStr">
        <is>
          <t>신규(B8), 문서 값 없음</t>
        </is>
      </c>
    </row>
    <row r="77">
      <c r="A77" s="2" t="inlineStr">
        <is>
          <t>보수 f2·100% $7,500: 손 소모비</t>
        </is>
      </c>
      <c r="B77" t="inlineStr">
        <is>
          <t>원/년</t>
        </is>
      </c>
      <c r="C77" s="13" t="n">
        <v>42000000</v>
      </c>
      <c r="D77" s="13">
        <f>'민감도'!I108</f>
        <v/>
      </c>
      <c r="E77" s="13">
        <f>D77-C77</f>
        <v/>
      </c>
      <c r="F77">
        <f>IF(ABS(E77)&lt;=1000,"일치","불일치")</f>
        <v/>
      </c>
      <c r="H77" s="2" t="inlineStr">
        <is>
          <t>신규(B8), 문서 값 없음</t>
        </is>
      </c>
    </row>
    <row r="78">
      <c r="A78" s="2" t="inlineStr">
        <is>
          <t>교차: 8절 기본 f2·20% $23,000 NPV - 계산 시트 C열 NPV (D7=2 기준)</t>
        </is>
      </c>
      <c r="B78" t="inlineStr">
        <is>
          <t>원</t>
        </is>
      </c>
      <c r="C78" s="13" t="n">
        <v>0</v>
      </c>
      <c r="D78" s="13">
        <f>'민감도'!E112-'계산'!C59</f>
        <v/>
      </c>
      <c r="E78" s="13">
        <f>D78-C78</f>
        <v/>
      </c>
      <c r="F78">
        <f>IF(ABS(E78)&lt;=1000,"일치","불일치")</f>
        <v/>
      </c>
      <c r="H78" s="2" t="inlineStr">
        <is>
          <t>8절이 기존 계산 열과 같은지 (기본 열은 가정 D7=2일 때)</t>
        </is>
      </c>
    </row>
    <row r="79">
      <c r="A79" s="2" t="inlineStr">
        <is>
          <t>교차: 8절 낙관 f1·20% $23,000 NPV - 계산 시트 F열 NPV (D7=2 기준)</t>
        </is>
      </c>
      <c r="B79" t="inlineStr">
        <is>
          <t>원</t>
        </is>
      </c>
      <c r="C79" s="13" t="n">
        <v>0</v>
      </c>
      <c r="D79" s="13">
        <f>'민감도'!B112-'계산'!F59</f>
        <v/>
      </c>
      <c r="E79" s="13">
        <f>D79-C79</f>
        <v/>
      </c>
      <c r="F79">
        <f>IF(ABS(E79)&lt;=1000,"일치","불일치")</f>
        <v/>
      </c>
      <c r="H79" s="2" t="inlineStr">
        <is>
          <t>8절이 기존 계산 열과 같은지 (기본 열은 가정 D7=2일 때)</t>
        </is>
      </c>
    </row>
    <row r="80">
      <c r="A80" s="2" t="inlineStr">
        <is>
          <t>교차: 8절 보수 f2·100% $23,000 NPV - 계산 시트 G열 NPV (D7=2 기준)</t>
        </is>
      </c>
      <c r="B80" t="inlineStr">
        <is>
          <t>원</t>
        </is>
      </c>
      <c r="C80" s="13" t="n">
        <v>0</v>
      </c>
      <c r="D80" s="13">
        <f>'민감도'!H112-'계산'!G59</f>
        <v/>
      </c>
      <c r="E80" s="13">
        <f>D80-C80</f>
        <v/>
      </c>
      <c r="F80">
        <f>IF(ABS(E80)&lt;=1000,"일치","불일치")</f>
        <v/>
      </c>
      <c r="H80" s="2" t="inlineStr">
        <is>
          <t>8절이 기존 계산 열과 같은지 (기본 열은 가정 D7=2일 때)</t>
        </is>
      </c>
    </row>
    <row r="81">
      <c r="A81" s="2" t="inlineStr">
        <is>
          <t>손 대 그리퍼 단가비 $23,000 / $7,500 (Python)</t>
        </is>
      </c>
      <c r="B81" t="inlineStr">
        <is>
          <t>배</t>
        </is>
      </c>
      <c r="C81" s="41" t="n">
        <v>3.172413793103448</v>
      </c>
      <c r="D81" s="41">
        <f>'요약'!B49</f>
        <v/>
      </c>
      <c r="E81" s="41">
        <f>D81-C81</f>
        <v/>
      </c>
      <c r="F81">
        <f>IF(ABS(E81)&lt;=0.0005,"일치","불일치")</f>
        <v/>
      </c>
      <c r="H81" s="2" t="inlineStr">
        <is>
          <t>Q9/요청: 약 3.2배</t>
        </is>
      </c>
    </row>
    <row r="82">
      <c r="A82" s="2" t="inlineStr">
        <is>
          <t>손 대 그리퍼 단가비 $7,500 (Python)</t>
        </is>
      </c>
      <c r="B82" t="inlineStr">
        <is>
          <t>배</t>
        </is>
      </c>
      <c r="C82" s="41" t="n">
        <v>1.03448275862069</v>
      </c>
      <c r="D82" s="41">
        <f>'요약'!C49</f>
        <v/>
      </c>
      <c r="E82" s="41">
        <f>D82-C82</f>
        <v/>
      </c>
      <c r="F82">
        <f>IF(ABS(E82)&lt;=0.0005,"일치","불일치")</f>
        <v/>
      </c>
      <c r="H82" s="2" t="inlineStr">
        <is>
          <t>Q9/요청: 약 1.03배</t>
        </is>
      </c>
    </row>
    <row r="83">
      <c r="A83" s="14" t="inlineStr">
        <is>
          <t>D절 불일치 건수 (0이어야 함)</t>
        </is>
      </c>
      <c r="C83" s="3">
        <f>COUNTIF(F45:F82,"불일치")</f>
        <v/>
      </c>
      <c r="H83" s="2" t="n"/>
    </row>
    <row r="84">
      <c r="A84" s="2" t="n"/>
      <c r="H84" s="2" t="n"/>
    </row>
    <row r="85">
      <c r="A85" s="14" t="inlineStr">
        <is>
          <t>E. Q9 근사(research/q9-allhandsup.md 7절)와 시트 계산 대조 - 차이는 이슈가 아니라 정의 차이</t>
        </is>
      </c>
      <c r="H85" s="2" t="n"/>
    </row>
    <row r="86">
      <c r="A86" s="2" t="inlineStr">
        <is>
          <t>Q9 기존 회수 약 4.5년 vs 시트 $23,000 기본(f2·20%)</t>
        </is>
      </c>
      <c r="B86" t="inlineStr">
        <is>
          <t>년</t>
        </is>
      </c>
      <c r="C86" s="25" t="n">
        <v>4.5</v>
      </c>
      <c r="D86" s="25">
        <f>'민감도'!E111</f>
        <v/>
      </c>
      <c r="E86" s="25">
        <f>D86-C86</f>
        <v/>
      </c>
      <c r="F86">
        <f>IF(ABS(E86)&lt;=0.05,"일치","차이")</f>
        <v/>
      </c>
      <c r="H86" s="2" t="inlineStr">
        <is>
          <t>Q9는 반올림 값(0.05년 허용)</t>
        </is>
      </c>
    </row>
    <row r="87">
      <c r="A87" s="2" t="inlineStr">
        <is>
          <t>Q9 근사 회수 약 3.3년 vs 시트 $7,500 비연동(손 투자만 감소)</t>
        </is>
      </c>
      <c r="B87" t="inlineStr">
        <is>
          <t>년</t>
        </is>
      </c>
      <c r="C87" s="25" t="n">
        <v>3.3</v>
      </c>
      <c r="D87" s="25">
        <f>'민감도'!F113</f>
        <v/>
      </c>
      <c r="E87" s="25">
        <f>D87-C87</f>
        <v/>
      </c>
      <c r="F87">
        <f>IF(ABS(E87)&lt;=0.05,"일치","차이")</f>
        <v/>
      </c>
      <c r="H87" s="2" t="inlineStr">
        <is>
          <t>Q9식 = (395.6M-43.4M)/(88.06M+17.36M), 통합비 고정이므로 비연동과 같은 식</t>
        </is>
      </c>
    </row>
    <row r="88">
      <c r="A88" s="2" t="inlineStr">
        <is>
          <t>Q9 근사 회수 약 3.3년 vs 시트 $7,500 연동(현 모델 방식)</t>
        </is>
      </c>
      <c r="B88" t="inlineStr">
        <is>
          <t>년</t>
        </is>
      </c>
      <c r="C88" s="25" t="n">
        <v>3.3</v>
      </c>
      <c r="D88" s="25">
        <f>'민감도'!F111</f>
        <v/>
      </c>
      <c r="E88" s="25">
        <f>D88-C88</f>
        <v/>
      </c>
      <c r="F88">
        <f>IF(ABS(E88)&lt;=0.05,"일치","차이")</f>
        <v/>
      </c>
      <c r="H88" s="2" t="inlineStr">
        <is>
          <t>원인: 현 모델의 통합비가 하드웨어(손 포함)에 비례(손 2개 x $15,500 x 100% 추가 감소 = 4,340만 원). Q9도 "연동되면 더 짧아진다"고 명시. 유지보수는 손 제외 기준이라 영향 없음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2026-10-12T06:42:21Z</dcterms:created>
  <dcterms:modified xsi:type="dcterms:W3CDTF">2026-10-12T08:00:39Z</dcterms:modified>
</cp:coreProperties>
</file>